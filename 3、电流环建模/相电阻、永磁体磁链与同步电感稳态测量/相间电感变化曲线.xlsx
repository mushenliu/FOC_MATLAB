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个人资源\大学学习\课外项目与专业软件资料\FOC\参数测量\"/>
    </mc:Choice>
  </mc:AlternateContent>
  <xr:revisionPtr revIDLastSave="0" documentId="13_ncr:1_{E3CA7843-2A96-4259-81A6-37188A11989B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0" i="1" l="1"/>
  <c r="J10" i="1"/>
  <c r="K10" i="1"/>
  <c r="L10" i="1"/>
  <c r="M10" i="1"/>
  <c r="N10" i="1"/>
  <c r="O10" i="1"/>
  <c r="M9" i="1"/>
  <c r="M24" i="1"/>
  <c r="M25" i="1"/>
  <c r="M26" i="1"/>
  <c r="M27" i="1"/>
  <c r="M28" i="1"/>
  <c r="K8" i="1"/>
  <c r="K9" i="1"/>
  <c r="K11" i="1"/>
  <c r="K26" i="1"/>
  <c r="K27" i="1"/>
  <c r="K28" i="1"/>
  <c r="K29" i="1"/>
  <c r="K7" i="1"/>
  <c r="J8" i="1"/>
  <c r="J9" i="1"/>
  <c r="C29" i="1"/>
  <c r="K12" i="1" s="1"/>
  <c r="D29" i="1"/>
  <c r="L11" i="1" s="1"/>
  <c r="E29" i="1"/>
  <c r="M29" i="1" s="1"/>
  <c r="F29" i="1"/>
  <c r="N9" i="1" s="1"/>
  <c r="G29" i="1"/>
  <c r="O8" i="1" s="1"/>
  <c r="B29" i="1"/>
  <c r="J13" i="1" s="1"/>
  <c r="J7" i="1" l="1"/>
  <c r="N27" i="1"/>
  <c r="M8" i="1"/>
  <c r="N7" i="1"/>
  <c r="N29" i="1"/>
  <c r="N28" i="1"/>
  <c r="J29" i="1"/>
  <c r="N26" i="1"/>
  <c r="J12" i="1"/>
  <c r="N25" i="1"/>
  <c r="J11" i="1"/>
  <c r="N24" i="1"/>
  <c r="L28" i="1"/>
  <c r="O29" i="1"/>
  <c r="O4" i="1"/>
  <c r="L25" i="1"/>
  <c r="O27" i="1"/>
  <c r="L29" i="1"/>
  <c r="N8" i="1"/>
  <c r="O7" i="1"/>
  <c r="L27" i="1"/>
  <c r="K5" i="1"/>
  <c r="L26" i="1"/>
  <c r="N4" i="1"/>
  <c r="L9" i="1"/>
  <c r="M4" i="1"/>
  <c r="L8" i="1"/>
  <c r="O25" i="1"/>
  <c r="O28" i="1"/>
  <c r="O26" i="1"/>
  <c r="L4" i="1"/>
  <c r="M7" i="1"/>
  <c r="O24" i="1"/>
  <c r="L7" i="1"/>
  <c r="N23" i="1"/>
  <c r="K4" i="1"/>
  <c r="O23" i="1"/>
  <c r="J28" i="1"/>
  <c r="O19" i="1"/>
  <c r="J26" i="1"/>
  <c r="K25" i="1"/>
  <c r="L24" i="1"/>
  <c r="M23" i="1"/>
  <c r="N22" i="1"/>
  <c r="O21" i="1"/>
  <c r="J25" i="1"/>
  <c r="L23" i="1"/>
  <c r="O20" i="1"/>
  <c r="J6" i="1"/>
  <c r="N18" i="1"/>
  <c r="O16" i="1"/>
  <c r="J20" i="1"/>
  <c r="J19" i="1"/>
  <c r="L17" i="1"/>
  <c r="J18" i="1"/>
  <c r="N14" i="1"/>
  <c r="K6" i="1"/>
  <c r="K16" i="1"/>
  <c r="M14" i="1"/>
  <c r="K15" i="1"/>
  <c r="L14" i="1"/>
  <c r="M13" i="1"/>
  <c r="N12" i="1"/>
  <c r="O11" i="1"/>
  <c r="O22" i="1"/>
  <c r="K24" i="1"/>
  <c r="M22" i="1"/>
  <c r="N21" i="1"/>
  <c r="J24" i="1"/>
  <c r="L22" i="1"/>
  <c r="J23" i="1"/>
  <c r="M20" i="1"/>
  <c r="O18" i="1"/>
  <c r="L20" i="1"/>
  <c r="J21" i="1"/>
  <c r="N17" i="1"/>
  <c r="L18" i="1"/>
  <c r="M17" i="1"/>
  <c r="M6" i="1"/>
  <c r="N15" i="1"/>
  <c r="L6" i="1"/>
  <c r="M15" i="1"/>
  <c r="O12" i="1"/>
  <c r="J15" i="1"/>
  <c r="K14" i="1"/>
  <c r="L13" i="1"/>
  <c r="M12" i="1"/>
  <c r="N11" i="1"/>
  <c r="K23" i="1"/>
  <c r="M21" i="1"/>
  <c r="N20" i="1"/>
  <c r="L21" i="1"/>
  <c r="N19" i="1"/>
  <c r="K21" i="1"/>
  <c r="M19" i="1"/>
  <c r="K20" i="1"/>
  <c r="M18" i="1"/>
  <c r="N6" i="1"/>
  <c r="N16" i="1"/>
  <c r="K18" i="1"/>
  <c r="M16" i="1"/>
  <c r="O13" i="1"/>
  <c r="J17" i="1"/>
  <c r="L15" i="1"/>
  <c r="O5" i="1"/>
  <c r="M5" i="1"/>
  <c r="J14" i="1"/>
  <c r="K13" i="1"/>
  <c r="L12" i="1"/>
  <c r="M11" i="1"/>
  <c r="O9" i="1"/>
  <c r="J27" i="1"/>
  <c r="K22" i="1"/>
  <c r="J22" i="1"/>
  <c r="O17" i="1"/>
  <c r="O6" i="1"/>
  <c r="L19" i="1"/>
  <c r="K19" i="1"/>
  <c r="O15" i="1"/>
  <c r="O14" i="1"/>
  <c r="K17" i="1"/>
  <c r="L16" i="1"/>
  <c r="N13" i="1"/>
  <c r="J16" i="1"/>
  <c r="N5" i="1"/>
  <c r="L5" i="1"/>
  <c r="J4" i="1"/>
  <c r="J5" i="1"/>
</calcChain>
</file>

<file path=xl/sharedStrings.xml><?xml version="1.0" encoding="utf-8"?>
<sst xmlns="http://schemas.openxmlformats.org/spreadsheetml/2006/main" count="21" uniqueCount="9">
  <si>
    <t>电角度/°</t>
    <phoneticPr fontId="1" type="noConversion"/>
  </si>
  <si>
    <t>1kHz</t>
    <phoneticPr fontId="1" type="noConversion"/>
  </si>
  <si>
    <t>10kHz</t>
    <phoneticPr fontId="1" type="noConversion"/>
  </si>
  <si>
    <t>AB</t>
    <phoneticPr fontId="1" type="noConversion"/>
  </si>
  <si>
    <t>BC</t>
    <phoneticPr fontId="1" type="noConversion"/>
  </si>
  <si>
    <t>AC</t>
    <phoneticPr fontId="1" type="noConversion"/>
  </si>
  <si>
    <t>平均值</t>
  </si>
  <si>
    <t>平均值</t>
    <phoneticPr fontId="1" type="noConversion"/>
  </si>
  <si>
    <t>去除平均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</si>
</sst>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相间电感曲线</a:t>
            </a:r>
            <a:r>
              <a:rPr lang="en-US" altLang="zh-CN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@1kHz</a:t>
            </a:r>
            <a:endParaRPr lang="zh-CN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AB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sheet1!$I$4:$I$29</c:f>
              <c:numCache>
                <c:formatCode>General</c:formatCode>
                <c:ptCount val="26"/>
                <c:pt idx="0">
                  <c:v>7.2110000000000003</c:v>
                </c:pt>
                <c:pt idx="1">
                  <c:v>25.265000000000001</c:v>
                </c:pt>
                <c:pt idx="2">
                  <c:v>33.691000000000003</c:v>
                </c:pt>
                <c:pt idx="3">
                  <c:v>40.912999999999997</c:v>
                </c:pt>
                <c:pt idx="4">
                  <c:v>50.542000000000002</c:v>
                </c:pt>
                <c:pt idx="5">
                  <c:v>64.986000000000004</c:v>
                </c:pt>
                <c:pt idx="6">
                  <c:v>75.819000000000003</c:v>
                </c:pt>
                <c:pt idx="7">
                  <c:v>80.159000000000006</c:v>
                </c:pt>
                <c:pt idx="8">
                  <c:v>99.432000000000002</c:v>
                </c:pt>
                <c:pt idx="9">
                  <c:v>106.057</c:v>
                </c:pt>
                <c:pt idx="10">
                  <c:v>122.30500000000001</c:v>
                </c:pt>
                <c:pt idx="11">
                  <c:v>138.488</c:v>
                </c:pt>
                <c:pt idx="12">
                  <c:v>156.46299999999999</c:v>
                </c:pt>
                <c:pt idx="13">
                  <c:v>172.11</c:v>
                </c:pt>
                <c:pt idx="14">
                  <c:v>186.554</c:v>
                </c:pt>
                <c:pt idx="15">
                  <c:v>200.99799999999999</c:v>
                </c:pt>
                <c:pt idx="16">
                  <c:v>218.54900000000001</c:v>
                </c:pt>
                <c:pt idx="17">
                  <c:v>235.904</c:v>
                </c:pt>
                <c:pt idx="18">
                  <c:v>250.34800000000001</c:v>
                </c:pt>
                <c:pt idx="19">
                  <c:v>266.01799999999997</c:v>
                </c:pt>
                <c:pt idx="20">
                  <c:v>275.625</c:v>
                </c:pt>
                <c:pt idx="21">
                  <c:v>281.64299999999997</c:v>
                </c:pt>
                <c:pt idx="22">
                  <c:v>300.90100000000001</c:v>
                </c:pt>
                <c:pt idx="23">
                  <c:v>314.14100000000002</c:v>
                </c:pt>
                <c:pt idx="24">
                  <c:v>332.19600000000003</c:v>
                </c:pt>
                <c:pt idx="25">
                  <c:v>346.78899999999999</c:v>
                </c:pt>
              </c:numCache>
            </c:numRef>
          </c:xVal>
          <c:yVal>
            <c:numRef>
              <c:f>sheet1!$J$4:$J$29</c:f>
              <c:numCache>
                <c:formatCode>General</c:formatCode>
                <c:ptCount val="26"/>
                <c:pt idx="0">
                  <c:v>3.961538461539682E-3</c:v>
                </c:pt>
                <c:pt idx="1">
                  <c:v>0.26796153846153903</c:v>
                </c:pt>
                <c:pt idx="2">
                  <c:v>0.38396153846153958</c:v>
                </c:pt>
                <c:pt idx="3">
                  <c:v>0.47096153846153932</c:v>
                </c:pt>
                <c:pt idx="4">
                  <c:v>0.50396153846153968</c:v>
                </c:pt>
                <c:pt idx="5">
                  <c:v>0.41496153846153927</c:v>
                </c:pt>
                <c:pt idx="6">
                  <c:v>0.26596153846153925</c:v>
                </c:pt>
                <c:pt idx="7">
                  <c:v>0.37796153846153935</c:v>
                </c:pt>
                <c:pt idx="8">
                  <c:v>-0.10903846153846075</c:v>
                </c:pt>
                <c:pt idx="9">
                  <c:v>-0.23703846153846087</c:v>
                </c:pt>
                <c:pt idx="10">
                  <c:v>-0.40803846153846024</c:v>
                </c:pt>
                <c:pt idx="11">
                  <c:v>-0.43203846153846026</c:v>
                </c:pt>
                <c:pt idx="12">
                  <c:v>-0.39203846153846023</c:v>
                </c:pt>
                <c:pt idx="13">
                  <c:v>-0.23903846153846064</c:v>
                </c:pt>
                <c:pt idx="14">
                  <c:v>-4.3038461538460915E-2</c:v>
                </c:pt>
                <c:pt idx="15">
                  <c:v>-2.3038461538460453E-2</c:v>
                </c:pt>
                <c:pt idx="16">
                  <c:v>0.25896153846153958</c:v>
                </c:pt>
                <c:pt idx="17">
                  <c:v>0.51396153846153947</c:v>
                </c:pt>
                <c:pt idx="18">
                  <c:v>0.3479615384615391</c:v>
                </c:pt>
                <c:pt idx="19">
                  <c:v>9.4961538461538986E-2</c:v>
                </c:pt>
                <c:pt idx="20">
                  <c:v>-9.9038461538460965E-2</c:v>
                </c:pt>
                <c:pt idx="21">
                  <c:v>-0.24403846153846054</c:v>
                </c:pt>
                <c:pt idx="22">
                  <c:v>-0.43103846153846082</c:v>
                </c:pt>
                <c:pt idx="23">
                  <c:v>-0.47703846153846019</c:v>
                </c:pt>
                <c:pt idx="24">
                  <c:v>-0.42403846153846025</c:v>
                </c:pt>
                <c:pt idx="25">
                  <c:v>-0.3470384615384603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4F-4937-8265-D3766C7B306A}"/>
            </c:ext>
          </c:extLst>
        </c:ser>
        <c:ser>
          <c:idx val="1"/>
          <c:order val="1"/>
          <c:tx>
            <c:v>BC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sheet1!$I$4:$I$29</c:f>
              <c:numCache>
                <c:formatCode>General</c:formatCode>
                <c:ptCount val="26"/>
                <c:pt idx="0">
                  <c:v>7.2110000000000003</c:v>
                </c:pt>
                <c:pt idx="1">
                  <c:v>25.265000000000001</c:v>
                </c:pt>
                <c:pt idx="2">
                  <c:v>33.691000000000003</c:v>
                </c:pt>
                <c:pt idx="3">
                  <c:v>40.912999999999997</c:v>
                </c:pt>
                <c:pt idx="4">
                  <c:v>50.542000000000002</c:v>
                </c:pt>
                <c:pt idx="5">
                  <c:v>64.986000000000004</c:v>
                </c:pt>
                <c:pt idx="6">
                  <c:v>75.819000000000003</c:v>
                </c:pt>
                <c:pt idx="7">
                  <c:v>80.159000000000006</c:v>
                </c:pt>
                <c:pt idx="8">
                  <c:v>99.432000000000002</c:v>
                </c:pt>
                <c:pt idx="9">
                  <c:v>106.057</c:v>
                </c:pt>
                <c:pt idx="10">
                  <c:v>122.30500000000001</c:v>
                </c:pt>
                <c:pt idx="11">
                  <c:v>138.488</c:v>
                </c:pt>
                <c:pt idx="12">
                  <c:v>156.46299999999999</c:v>
                </c:pt>
                <c:pt idx="13">
                  <c:v>172.11</c:v>
                </c:pt>
                <c:pt idx="14">
                  <c:v>186.554</c:v>
                </c:pt>
                <c:pt idx="15">
                  <c:v>200.99799999999999</c:v>
                </c:pt>
                <c:pt idx="16">
                  <c:v>218.54900000000001</c:v>
                </c:pt>
                <c:pt idx="17">
                  <c:v>235.904</c:v>
                </c:pt>
                <c:pt idx="18">
                  <c:v>250.34800000000001</c:v>
                </c:pt>
                <c:pt idx="19">
                  <c:v>266.01799999999997</c:v>
                </c:pt>
                <c:pt idx="20">
                  <c:v>275.625</c:v>
                </c:pt>
                <c:pt idx="21">
                  <c:v>281.64299999999997</c:v>
                </c:pt>
                <c:pt idx="22">
                  <c:v>300.90100000000001</c:v>
                </c:pt>
                <c:pt idx="23">
                  <c:v>314.14100000000002</c:v>
                </c:pt>
                <c:pt idx="24">
                  <c:v>332.19600000000003</c:v>
                </c:pt>
                <c:pt idx="25">
                  <c:v>346.78899999999999</c:v>
                </c:pt>
              </c:numCache>
            </c:numRef>
          </c:xVal>
          <c:yVal>
            <c:numRef>
              <c:f>sheet1!$K$4:$K$29</c:f>
              <c:numCache>
                <c:formatCode>General</c:formatCode>
                <c:ptCount val="26"/>
                <c:pt idx="0">
                  <c:v>0.47596153846153832</c:v>
                </c:pt>
                <c:pt idx="1">
                  <c:v>0.13796153846153825</c:v>
                </c:pt>
                <c:pt idx="2">
                  <c:v>-4.8038461538461696E-2</c:v>
                </c:pt>
                <c:pt idx="3">
                  <c:v>-0.11503846153846187</c:v>
                </c:pt>
                <c:pt idx="4">
                  <c:v>-0.1730384615384617</c:v>
                </c:pt>
                <c:pt idx="5">
                  <c:v>-0.37703846153846143</c:v>
                </c:pt>
                <c:pt idx="6">
                  <c:v>-0.41503846153846169</c:v>
                </c:pt>
                <c:pt idx="7">
                  <c:v>-0.40703846153846168</c:v>
                </c:pt>
                <c:pt idx="8">
                  <c:v>-0.34403846153846107</c:v>
                </c:pt>
                <c:pt idx="9">
                  <c:v>-0.26403846153846189</c:v>
                </c:pt>
                <c:pt idx="10">
                  <c:v>-3.6038461538461242E-2</c:v>
                </c:pt>
                <c:pt idx="11">
                  <c:v>-5.7038461538461149E-2</c:v>
                </c:pt>
                <c:pt idx="12">
                  <c:v>0.50096153846153868</c:v>
                </c:pt>
                <c:pt idx="13">
                  <c:v>0.63796153846153825</c:v>
                </c:pt>
                <c:pt idx="14">
                  <c:v>0.56796153846153885</c:v>
                </c:pt>
                <c:pt idx="15">
                  <c:v>0.49296153846153867</c:v>
                </c:pt>
                <c:pt idx="16">
                  <c:v>0.16696153846153816</c:v>
                </c:pt>
                <c:pt idx="17">
                  <c:v>-0.31303846153846138</c:v>
                </c:pt>
                <c:pt idx="18">
                  <c:v>-0.38503846153846144</c:v>
                </c:pt>
                <c:pt idx="19">
                  <c:v>-0.39203846153846111</c:v>
                </c:pt>
                <c:pt idx="20">
                  <c:v>-0.36803846153846109</c:v>
                </c:pt>
                <c:pt idx="21">
                  <c:v>-0.28203846153846168</c:v>
                </c:pt>
                <c:pt idx="22">
                  <c:v>-5.2038461538461256E-2</c:v>
                </c:pt>
                <c:pt idx="23">
                  <c:v>9.4961538461538986E-2</c:v>
                </c:pt>
                <c:pt idx="24">
                  <c:v>0.40996153846153849</c:v>
                </c:pt>
                <c:pt idx="25">
                  <c:v>0.5429615384615385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4F-4937-8265-D3766C7B306A}"/>
            </c:ext>
          </c:extLst>
        </c:ser>
        <c:ser>
          <c:idx val="2"/>
          <c:order val="2"/>
          <c:tx>
            <c:v>AC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sheet1!$I$4:$I$29</c:f>
              <c:numCache>
                <c:formatCode>General</c:formatCode>
                <c:ptCount val="26"/>
                <c:pt idx="0">
                  <c:v>7.2110000000000003</c:v>
                </c:pt>
                <c:pt idx="1">
                  <c:v>25.265000000000001</c:v>
                </c:pt>
                <c:pt idx="2">
                  <c:v>33.691000000000003</c:v>
                </c:pt>
                <c:pt idx="3">
                  <c:v>40.912999999999997</c:v>
                </c:pt>
                <c:pt idx="4">
                  <c:v>50.542000000000002</c:v>
                </c:pt>
                <c:pt idx="5">
                  <c:v>64.986000000000004</c:v>
                </c:pt>
                <c:pt idx="6">
                  <c:v>75.819000000000003</c:v>
                </c:pt>
                <c:pt idx="7">
                  <c:v>80.159000000000006</c:v>
                </c:pt>
                <c:pt idx="8">
                  <c:v>99.432000000000002</c:v>
                </c:pt>
                <c:pt idx="9">
                  <c:v>106.057</c:v>
                </c:pt>
                <c:pt idx="10">
                  <c:v>122.30500000000001</c:v>
                </c:pt>
                <c:pt idx="11">
                  <c:v>138.488</c:v>
                </c:pt>
                <c:pt idx="12">
                  <c:v>156.46299999999999</c:v>
                </c:pt>
                <c:pt idx="13">
                  <c:v>172.11</c:v>
                </c:pt>
                <c:pt idx="14">
                  <c:v>186.554</c:v>
                </c:pt>
                <c:pt idx="15">
                  <c:v>200.99799999999999</c:v>
                </c:pt>
                <c:pt idx="16">
                  <c:v>218.54900000000001</c:v>
                </c:pt>
                <c:pt idx="17">
                  <c:v>235.904</c:v>
                </c:pt>
                <c:pt idx="18">
                  <c:v>250.34800000000001</c:v>
                </c:pt>
                <c:pt idx="19">
                  <c:v>266.01799999999997</c:v>
                </c:pt>
                <c:pt idx="20">
                  <c:v>275.625</c:v>
                </c:pt>
                <c:pt idx="21">
                  <c:v>281.64299999999997</c:v>
                </c:pt>
                <c:pt idx="22">
                  <c:v>300.90100000000001</c:v>
                </c:pt>
                <c:pt idx="23">
                  <c:v>314.14100000000002</c:v>
                </c:pt>
                <c:pt idx="24">
                  <c:v>332.19600000000003</c:v>
                </c:pt>
                <c:pt idx="25">
                  <c:v>346.78899999999999</c:v>
                </c:pt>
              </c:numCache>
            </c:numRef>
          </c:xVal>
          <c:yVal>
            <c:numRef>
              <c:f>sheet1!$L$4:$L$29</c:f>
              <c:numCache>
                <c:formatCode>General</c:formatCode>
                <c:ptCount val="26"/>
                <c:pt idx="0">
                  <c:v>-0.40111538461538476</c:v>
                </c:pt>
                <c:pt idx="1">
                  <c:v>-0.46011538461538493</c:v>
                </c:pt>
                <c:pt idx="2">
                  <c:v>-0.45811538461538515</c:v>
                </c:pt>
                <c:pt idx="3">
                  <c:v>-0.3891153846153852</c:v>
                </c:pt>
                <c:pt idx="4">
                  <c:v>-0.35711538461538517</c:v>
                </c:pt>
                <c:pt idx="5">
                  <c:v>-6.2115384615385238E-2</c:v>
                </c:pt>
                <c:pt idx="6">
                  <c:v>5.9884615384614648E-2</c:v>
                </c:pt>
                <c:pt idx="7">
                  <c:v>-4.1115384615385331E-2</c:v>
                </c:pt>
                <c:pt idx="8">
                  <c:v>0.43688461538461443</c:v>
                </c:pt>
                <c:pt idx="9">
                  <c:v>0.54788461538461508</c:v>
                </c:pt>
                <c:pt idx="10">
                  <c:v>0.53388461538461485</c:v>
                </c:pt>
                <c:pt idx="11">
                  <c:v>0.51088461538461516</c:v>
                </c:pt>
                <c:pt idx="12">
                  <c:v>9.8846153846148255E-3</c:v>
                </c:pt>
                <c:pt idx="13">
                  <c:v>-0.25711538461538552</c:v>
                </c:pt>
                <c:pt idx="14">
                  <c:v>-0.37011538461538507</c:v>
                </c:pt>
                <c:pt idx="15">
                  <c:v>-0.3841153846153853</c:v>
                </c:pt>
                <c:pt idx="16">
                  <c:v>-0.43911538461538502</c:v>
                </c:pt>
                <c:pt idx="17">
                  <c:v>-0.23811538461538539</c:v>
                </c:pt>
                <c:pt idx="18">
                  <c:v>7.8846153846150457E-3</c:v>
                </c:pt>
                <c:pt idx="19">
                  <c:v>5.2884615384614975E-2</c:v>
                </c:pt>
                <c:pt idx="20">
                  <c:v>0.41388461538461474</c:v>
                </c:pt>
                <c:pt idx="21">
                  <c:v>0.51588461538461505</c:v>
                </c:pt>
                <c:pt idx="22">
                  <c:v>0.49788461538461526</c:v>
                </c:pt>
                <c:pt idx="23">
                  <c:v>0.32788461538461444</c:v>
                </c:pt>
                <c:pt idx="24">
                  <c:v>4.088461538461452E-2</c:v>
                </c:pt>
                <c:pt idx="25">
                  <c:v>-9.911538461538516E-2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4F-4937-8265-D3766C7B3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0057232"/>
        <c:axId val="1160353424"/>
      </c:scatterChart>
      <c:valAx>
        <c:axId val="130005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电角度</a:t>
                </a:r>
                <a:r>
                  <a:rPr lang="en-US" altLang="zh-CN"/>
                  <a:t>/°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353424"/>
        <c:crosses val="autoZero"/>
        <c:crossBetween val="midCat"/>
      </c:valAx>
      <c:valAx>
        <c:axId val="116035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相间电感</a:t>
                </a:r>
                <a:r>
                  <a:rPr lang="en-US" altLang="zh-CN"/>
                  <a:t>/mH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00057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相间电感曲线</a:t>
            </a:r>
            <a:r>
              <a:rPr lang="en-US" altLang="zh-CN"/>
              <a:t>@10kHz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AB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sheet1!$I$4:$I$29</c:f>
              <c:numCache>
                <c:formatCode>General</c:formatCode>
                <c:ptCount val="26"/>
                <c:pt idx="0">
                  <c:v>7.2110000000000003</c:v>
                </c:pt>
                <c:pt idx="1">
                  <c:v>25.265000000000001</c:v>
                </c:pt>
                <c:pt idx="2">
                  <c:v>33.691000000000003</c:v>
                </c:pt>
                <c:pt idx="3">
                  <c:v>40.912999999999997</c:v>
                </c:pt>
                <c:pt idx="4">
                  <c:v>50.542000000000002</c:v>
                </c:pt>
                <c:pt idx="5">
                  <c:v>64.986000000000004</c:v>
                </c:pt>
                <c:pt idx="6">
                  <c:v>75.819000000000003</c:v>
                </c:pt>
                <c:pt idx="7">
                  <c:v>80.159000000000006</c:v>
                </c:pt>
                <c:pt idx="8">
                  <c:v>99.432000000000002</c:v>
                </c:pt>
                <c:pt idx="9">
                  <c:v>106.057</c:v>
                </c:pt>
                <c:pt idx="10">
                  <c:v>122.30500000000001</c:v>
                </c:pt>
                <c:pt idx="11">
                  <c:v>138.488</c:v>
                </c:pt>
                <c:pt idx="12">
                  <c:v>156.46299999999999</c:v>
                </c:pt>
                <c:pt idx="13">
                  <c:v>172.11</c:v>
                </c:pt>
                <c:pt idx="14">
                  <c:v>186.554</c:v>
                </c:pt>
                <c:pt idx="15">
                  <c:v>200.99799999999999</c:v>
                </c:pt>
                <c:pt idx="16">
                  <c:v>218.54900000000001</c:v>
                </c:pt>
                <c:pt idx="17">
                  <c:v>235.904</c:v>
                </c:pt>
                <c:pt idx="18">
                  <c:v>250.34800000000001</c:v>
                </c:pt>
                <c:pt idx="19">
                  <c:v>266.01799999999997</c:v>
                </c:pt>
                <c:pt idx="20">
                  <c:v>275.625</c:v>
                </c:pt>
                <c:pt idx="21">
                  <c:v>281.64299999999997</c:v>
                </c:pt>
                <c:pt idx="22">
                  <c:v>300.90100000000001</c:v>
                </c:pt>
                <c:pt idx="23">
                  <c:v>314.14100000000002</c:v>
                </c:pt>
                <c:pt idx="24">
                  <c:v>332.19600000000003</c:v>
                </c:pt>
                <c:pt idx="25">
                  <c:v>346.78899999999999</c:v>
                </c:pt>
              </c:numCache>
            </c:numRef>
          </c:xVal>
          <c:yVal>
            <c:numRef>
              <c:f>sheet1!$M$4:$M$29</c:f>
              <c:numCache>
                <c:formatCode>General</c:formatCode>
                <c:ptCount val="26"/>
                <c:pt idx="0">
                  <c:v>4.2692307692302478E-3</c:v>
                </c:pt>
                <c:pt idx="1">
                  <c:v>0.32726923076923065</c:v>
                </c:pt>
                <c:pt idx="2">
                  <c:v>0.47426923076923089</c:v>
                </c:pt>
                <c:pt idx="3">
                  <c:v>0.58326923076923087</c:v>
                </c:pt>
                <c:pt idx="4">
                  <c:v>0.61626923076923035</c:v>
                </c:pt>
                <c:pt idx="5">
                  <c:v>0.52026923076923026</c:v>
                </c:pt>
                <c:pt idx="6">
                  <c:v>0.34026923076923055</c:v>
                </c:pt>
                <c:pt idx="7">
                  <c:v>0.477269230769231</c:v>
                </c:pt>
                <c:pt idx="8">
                  <c:v>-0.13273076923076932</c:v>
                </c:pt>
                <c:pt idx="9">
                  <c:v>-0.30373076923076958</c:v>
                </c:pt>
                <c:pt idx="10">
                  <c:v>-0.53073076923076945</c:v>
                </c:pt>
                <c:pt idx="11">
                  <c:v>-0.54973076923076958</c:v>
                </c:pt>
                <c:pt idx="12">
                  <c:v>-0.52873076923076923</c:v>
                </c:pt>
                <c:pt idx="13">
                  <c:v>-0.31373076923076937</c:v>
                </c:pt>
                <c:pt idx="14">
                  <c:v>-8.773076923076939E-2</c:v>
                </c:pt>
                <c:pt idx="15">
                  <c:v>-2.5730769230769113E-2</c:v>
                </c:pt>
                <c:pt idx="16">
                  <c:v>0.32626923076923031</c:v>
                </c:pt>
                <c:pt idx="17">
                  <c:v>0.61326923076923023</c:v>
                </c:pt>
                <c:pt idx="18">
                  <c:v>0.41526923076923072</c:v>
                </c:pt>
                <c:pt idx="19">
                  <c:v>0.38926923076923092</c:v>
                </c:pt>
                <c:pt idx="20">
                  <c:v>-0.1087307692307693</c:v>
                </c:pt>
                <c:pt idx="21">
                  <c:v>-0.28873076923076901</c:v>
                </c:pt>
                <c:pt idx="22">
                  <c:v>-0.55073076923076947</c:v>
                </c:pt>
                <c:pt idx="23">
                  <c:v>-0.62373076923076942</c:v>
                </c:pt>
                <c:pt idx="24">
                  <c:v>-0.57573076923076938</c:v>
                </c:pt>
                <c:pt idx="25">
                  <c:v>-0.46673076923076984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E3B-4919-A6F7-DBB56900C6FA}"/>
            </c:ext>
          </c:extLst>
        </c:ser>
        <c:ser>
          <c:idx val="1"/>
          <c:order val="1"/>
          <c:tx>
            <c:v>BC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sheet1!$I$4:$I$29</c:f>
              <c:numCache>
                <c:formatCode>General</c:formatCode>
                <c:ptCount val="26"/>
                <c:pt idx="0">
                  <c:v>7.2110000000000003</c:v>
                </c:pt>
                <c:pt idx="1">
                  <c:v>25.265000000000001</c:v>
                </c:pt>
                <c:pt idx="2">
                  <c:v>33.691000000000003</c:v>
                </c:pt>
                <c:pt idx="3">
                  <c:v>40.912999999999997</c:v>
                </c:pt>
                <c:pt idx="4">
                  <c:v>50.542000000000002</c:v>
                </c:pt>
                <c:pt idx="5">
                  <c:v>64.986000000000004</c:v>
                </c:pt>
                <c:pt idx="6">
                  <c:v>75.819000000000003</c:v>
                </c:pt>
                <c:pt idx="7">
                  <c:v>80.159000000000006</c:v>
                </c:pt>
                <c:pt idx="8">
                  <c:v>99.432000000000002</c:v>
                </c:pt>
                <c:pt idx="9">
                  <c:v>106.057</c:v>
                </c:pt>
                <c:pt idx="10">
                  <c:v>122.30500000000001</c:v>
                </c:pt>
                <c:pt idx="11">
                  <c:v>138.488</c:v>
                </c:pt>
                <c:pt idx="12">
                  <c:v>156.46299999999999</c:v>
                </c:pt>
                <c:pt idx="13">
                  <c:v>172.11</c:v>
                </c:pt>
                <c:pt idx="14">
                  <c:v>186.554</c:v>
                </c:pt>
                <c:pt idx="15">
                  <c:v>200.99799999999999</c:v>
                </c:pt>
                <c:pt idx="16">
                  <c:v>218.54900000000001</c:v>
                </c:pt>
                <c:pt idx="17">
                  <c:v>235.904</c:v>
                </c:pt>
                <c:pt idx="18">
                  <c:v>250.34800000000001</c:v>
                </c:pt>
                <c:pt idx="19">
                  <c:v>266.01799999999997</c:v>
                </c:pt>
                <c:pt idx="20">
                  <c:v>275.625</c:v>
                </c:pt>
                <c:pt idx="21">
                  <c:v>281.64299999999997</c:v>
                </c:pt>
                <c:pt idx="22">
                  <c:v>300.90100000000001</c:v>
                </c:pt>
                <c:pt idx="23">
                  <c:v>314.14100000000002</c:v>
                </c:pt>
                <c:pt idx="24">
                  <c:v>332.19600000000003</c:v>
                </c:pt>
                <c:pt idx="25">
                  <c:v>346.78899999999999</c:v>
                </c:pt>
              </c:numCache>
            </c:numRef>
          </c:xVal>
          <c:yVal>
            <c:numRef>
              <c:f>sheet1!$N$4:$N$29</c:f>
              <c:numCache>
                <c:formatCode>General</c:formatCode>
                <c:ptCount val="26"/>
                <c:pt idx="0">
                  <c:v>0.59584615384615347</c:v>
                </c:pt>
                <c:pt idx="1">
                  <c:v>0.18184615384615377</c:v>
                </c:pt>
                <c:pt idx="2">
                  <c:v>-2.515384615384697E-2</c:v>
                </c:pt>
                <c:pt idx="3">
                  <c:v>-8.8153846153846693E-2</c:v>
                </c:pt>
                <c:pt idx="4">
                  <c:v>-0.17315384615384666</c:v>
                </c:pt>
                <c:pt idx="5">
                  <c:v>-0.47615384615384659</c:v>
                </c:pt>
                <c:pt idx="6">
                  <c:v>-0.52915384615384653</c:v>
                </c:pt>
                <c:pt idx="7">
                  <c:v>-0.4971538461538465</c:v>
                </c:pt>
                <c:pt idx="8">
                  <c:v>-0.43615384615384656</c:v>
                </c:pt>
                <c:pt idx="9">
                  <c:v>-0.30915384615384678</c:v>
                </c:pt>
                <c:pt idx="10">
                  <c:v>-5.2153846153847105E-2</c:v>
                </c:pt>
                <c:pt idx="11">
                  <c:v>-7.3153846153847013E-2</c:v>
                </c:pt>
                <c:pt idx="12">
                  <c:v>0.59884615384615358</c:v>
                </c:pt>
                <c:pt idx="13">
                  <c:v>0.74784615384615361</c:v>
                </c:pt>
                <c:pt idx="14">
                  <c:v>0.6668461538461532</c:v>
                </c:pt>
                <c:pt idx="15">
                  <c:v>0.60584615384615326</c:v>
                </c:pt>
                <c:pt idx="16">
                  <c:v>0.2268461538461537</c:v>
                </c:pt>
                <c:pt idx="17">
                  <c:v>-0.35015384615384626</c:v>
                </c:pt>
                <c:pt idx="18">
                  <c:v>-0.51815384615384685</c:v>
                </c:pt>
                <c:pt idx="19">
                  <c:v>-0.52815384615384664</c:v>
                </c:pt>
                <c:pt idx="20">
                  <c:v>-0.46015384615384658</c:v>
                </c:pt>
                <c:pt idx="21">
                  <c:v>-0.34415384615384692</c:v>
                </c:pt>
                <c:pt idx="22">
                  <c:v>-6.7153846153846786E-2</c:v>
                </c:pt>
                <c:pt idx="23">
                  <c:v>0.13484615384615317</c:v>
                </c:pt>
                <c:pt idx="24">
                  <c:v>0.49584615384615294</c:v>
                </c:pt>
                <c:pt idx="25">
                  <c:v>0.67284615384615343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E3B-4919-A6F7-DBB56900C6FA}"/>
            </c:ext>
          </c:extLst>
        </c:ser>
        <c:ser>
          <c:idx val="2"/>
          <c:order val="2"/>
          <c:tx>
            <c:v>AC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sheet1!$I$4:$I$29</c:f>
              <c:numCache>
                <c:formatCode>General</c:formatCode>
                <c:ptCount val="26"/>
                <c:pt idx="0">
                  <c:v>7.2110000000000003</c:v>
                </c:pt>
                <c:pt idx="1">
                  <c:v>25.265000000000001</c:v>
                </c:pt>
                <c:pt idx="2">
                  <c:v>33.691000000000003</c:v>
                </c:pt>
                <c:pt idx="3">
                  <c:v>40.912999999999997</c:v>
                </c:pt>
                <c:pt idx="4">
                  <c:v>50.542000000000002</c:v>
                </c:pt>
                <c:pt idx="5">
                  <c:v>64.986000000000004</c:v>
                </c:pt>
                <c:pt idx="6">
                  <c:v>75.819000000000003</c:v>
                </c:pt>
                <c:pt idx="7">
                  <c:v>80.159000000000006</c:v>
                </c:pt>
                <c:pt idx="8">
                  <c:v>99.432000000000002</c:v>
                </c:pt>
                <c:pt idx="9">
                  <c:v>106.057</c:v>
                </c:pt>
                <c:pt idx="10">
                  <c:v>122.30500000000001</c:v>
                </c:pt>
                <c:pt idx="11">
                  <c:v>138.488</c:v>
                </c:pt>
                <c:pt idx="12">
                  <c:v>156.46299999999999</c:v>
                </c:pt>
                <c:pt idx="13">
                  <c:v>172.11</c:v>
                </c:pt>
                <c:pt idx="14">
                  <c:v>186.554</c:v>
                </c:pt>
                <c:pt idx="15">
                  <c:v>200.99799999999999</c:v>
                </c:pt>
                <c:pt idx="16">
                  <c:v>218.54900000000001</c:v>
                </c:pt>
                <c:pt idx="17">
                  <c:v>235.904</c:v>
                </c:pt>
                <c:pt idx="18">
                  <c:v>250.34800000000001</c:v>
                </c:pt>
                <c:pt idx="19">
                  <c:v>266.01799999999997</c:v>
                </c:pt>
                <c:pt idx="20">
                  <c:v>275.625</c:v>
                </c:pt>
                <c:pt idx="21">
                  <c:v>281.64299999999997</c:v>
                </c:pt>
                <c:pt idx="22">
                  <c:v>300.90100000000001</c:v>
                </c:pt>
                <c:pt idx="23">
                  <c:v>314.14100000000002</c:v>
                </c:pt>
                <c:pt idx="24">
                  <c:v>332.19600000000003</c:v>
                </c:pt>
                <c:pt idx="25">
                  <c:v>346.78899999999999</c:v>
                </c:pt>
              </c:numCache>
            </c:numRef>
          </c:xVal>
          <c:yVal>
            <c:numRef>
              <c:f>sheet1!$O$4:$O$29</c:f>
              <c:numCache>
                <c:formatCode>General</c:formatCode>
                <c:ptCount val="26"/>
                <c:pt idx="0">
                  <c:v>-0.53311538461538399</c:v>
                </c:pt>
                <c:pt idx="1">
                  <c:v>-0.59711538461538405</c:v>
                </c:pt>
                <c:pt idx="2">
                  <c:v>-0.54411538461538411</c:v>
                </c:pt>
                <c:pt idx="3">
                  <c:v>-0.4671153846153846</c:v>
                </c:pt>
                <c:pt idx="4">
                  <c:v>-0.44911538461538392</c:v>
                </c:pt>
                <c:pt idx="5">
                  <c:v>-6.3115384615383796E-2</c:v>
                </c:pt>
                <c:pt idx="6">
                  <c:v>9.8884615384616126E-2</c:v>
                </c:pt>
                <c:pt idx="7">
                  <c:v>-3.8115384615384329E-2</c:v>
                </c:pt>
                <c:pt idx="8">
                  <c:v>0.54488461538461586</c:v>
                </c:pt>
                <c:pt idx="9">
                  <c:v>0.64088461538461594</c:v>
                </c:pt>
                <c:pt idx="10">
                  <c:v>0.60788461538461558</c:v>
                </c:pt>
                <c:pt idx="11">
                  <c:v>0.60088461538461591</c:v>
                </c:pt>
                <c:pt idx="12">
                  <c:v>-1.1115384615384194E-2</c:v>
                </c:pt>
                <c:pt idx="13">
                  <c:v>-0.32511538461538425</c:v>
                </c:pt>
                <c:pt idx="14">
                  <c:v>-0.49211538461538407</c:v>
                </c:pt>
                <c:pt idx="15">
                  <c:v>-0.52511538461538398</c:v>
                </c:pt>
                <c:pt idx="16">
                  <c:v>-0.58111538461538403</c:v>
                </c:pt>
                <c:pt idx="17">
                  <c:v>-0.29111538461538444</c:v>
                </c:pt>
                <c:pt idx="18">
                  <c:v>1.5884615384615941E-2</c:v>
                </c:pt>
                <c:pt idx="19">
                  <c:v>0.33588461538461623</c:v>
                </c:pt>
                <c:pt idx="20">
                  <c:v>0.53488461538461607</c:v>
                </c:pt>
                <c:pt idx="21">
                  <c:v>0.63388461538461538</c:v>
                </c:pt>
                <c:pt idx="22">
                  <c:v>0.587884615384616</c:v>
                </c:pt>
                <c:pt idx="23">
                  <c:v>0.3948846153846155</c:v>
                </c:pt>
                <c:pt idx="24">
                  <c:v>4.588461538461619E-2</c:v>
                </c:pt>
                <c:pt idx="25">
                  <c:v>-0.12511538461538407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E3B-4919-A6F7-DBB56900C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7747248"/>
        <c:axId val="1247746768"/>
      </c:scatterChart>
      <c:valAx>
        <c:axId val="1247747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电角度</a:t>
                </a:r>
                <a:r>
                  <a:rPr lang="en-US" altLang="zh-CN"/>
                  <a:t>/°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7746768"/>
        <c:crosses val="autoZero"/>
        <c:crossBetween val="midCat"/>
      </c:valAx>
      <c:valAx>
        <c:axId val="124774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相间电感</a:t>
                </a:r>
                <a:r>
                  <a:rPr lang="en-US" altLang="zh-CN"/>
                  <a:t>/mH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7747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相间电感曲线</a:t>
            </a:r>
            <a:r>
              <a:rPr lang="en-US" altLang="zh-CN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@1kHz</a:t>
            </a:r>
            <a:endParaRPr lang="zh-CN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AB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sheet1!$A$3:$A$28</c:f>
              <c:numCache>
                <c:formatCode>General</c:formatCode>
                <c:ptCount val="26"/>
                <c:pt idx="0">
                  <c:v>7.2110000000000003</c:v>
                </c:pt>
                <c:pt idx="1">
                  <c:v>25.265000000000001</c:v>
                </c:pt>
                <c:pt idx="2">
                  <c:v>33.691000000000003</c:v>
                </c:pt>
                <c:pt idx="3">
                  <c:v>40.912999999999997</c:v>
                </c:pt>
                <c:pt idx="4">
                  <c:v>50.542000000000002</c:v>
                </c:pt>
                <c:pt idx="5">
                  <c:v>64.986000000000004</c:v>
                </c:pt>
                <c:pt idx="6">
                  <c:v>75.819000000000003</c:v>
                </c:pt>
                <c:pt idx="7">
                  <c:v>80.159000000000006</c:v>
                </c:pt>
                <c:pt idx="8">
                  <c:v>99.432000000000002</c:v>
                </c:pt>
                <c:pt idx="9">
                  <c:v>106.057</c:v>
                </c:pt>
                <c:pt idx="10">
                  <c:v>122.30500000000001</c:v>
                </c:pt>
                <c:pt idx="11">
                  <c:v>138.488</c:v>
                </c:pt>
                <c:pt idx="12">
                  <c:v>156.46299999999999</c:v>
                </c:pt>
                <c:pt idx="13">
                  <c:v>172.11</c:v>
                </c:pt>
                <c:pt idx="14">
                  <c:v>186.554</c:v>
                </c:pt>
                <c:pt idx="15">
                  <c:v>200.99799999999999</c:v>
                </c:pt>
                <c:pt idx="16">
                  <c:v>218.54900000000001</c:v>
                </c:pt>
                <c:pt idx="17">
                  <c:v>235.904</c:v>
                </c:pt>
                <c:pt idx="18">
                  <c:v>250.34800000000001</c:v>
                </c:pt>
                <c:pt idx="19">
                  <c:v>266.01799999999997</c:v>
                </c:pt>
                <c:pt idx="20">
                  <c:v>275.625</c:v>
                </c:pt>
                <c:pt idx="21">
                  <c:v>281.64299999999997</c:v>
                </c:pt>
                <c:pt idx="22">
                  <c:v>300.90100000000001</c:v>
                </c:pt>
                <c:pt idx="23">
                  <c:v>314.14100000000002</c:v>
                </c:pt>
                <c:pt idx="24">
                  <c:v>332.19600000000003</c:v>
                </c:pt>
                <c:pt idx="25">
                  <c:v>346.78899999999999</c:v>
                </c:pt>
              </c:numCache>
            </c:numRef>
          </c:xVal>
          <c:yVal>
            <c:numRef>
              <c:f>sheet1!$B$3:$B$28</c:f>
              <c:numCache>
                <c:formatCode>General</c:formatCode>
                <c:ptCount val="26"/>
                <c:pt idx="0">
                  <c:v>4.5860000000000003</c:v>
                </c:pt>
                <c:pt idx="1">
                  <c:v>4.8499999999999996</c:v>
                </c:pt>
                <c:pt idx="2">
                  <c:v>4.9660000000000002</c:v>
                </c:pt>
                <c:pt idx="3">
                  <c:v>5.0529999999999999</c:v>
                </c:pt>
                <c:pt idx="4">
                  <c:v>5.0860000000000003</c:v>
                </c:pt>
                <c:pt idx="5">
                  <c:v>4.9969999999999999</c:v>
                </c:pt>
                <c:pt idx="6">
                  <c:v>4.8479999999999999</c:v>
                </c:pt>
                <c:pt idx="7">
                  <c:v>4.96</c:v>
                </c:pt>
                <c:pt idx="8">
                  <c:v>4.4729999999999999</c:v>
                </c:pt>
                <c:pt idx="9">
                  <c:v>4.3449999999999998</c:v>
                </c:pt>
                <c:pt idx="10">
                  <c:v>4.1740000000000004</c:v>
                </c:pt>
                <c:pt idx="11">
                  <c:v>4.1500000000000004</c:v>
                </c:pt>
                <c:pt idx="12">
                  <c:v>4.1900000000000004</c:v>
                </c:pt>
                <c:pt idx="13">
                  <c:v>4.343</c:v>
                </c:pt>
                <c:pt idx="14">
                  <c:v>4.5389999999999997</c:v>
                </c:pt>
                <c:pt idx="15">
                  <c:v>4.5590000000000002</c:v>
                </c:pt>
                <c:pt idx="16">
                  <c:v>4.8410000000000002</c:v>
                </c:pt>
                <c:pt idx="17">
                  <c:v>5.0960000000000001</c:v>
                </c:pt>
                <c:pt idx="18">
                  <c:v>4.93</c:v>
                </c:pt>
                <c:pt idx="19">
                  <c:v>4.6769999999999996</c:v>
                </c:pt>
                <c:pt idx="20">
                  <c:v>4.4829999999999997</c:v>
                </c:pt>
                <c:pt idx="21">
                  <c:v>4.3380000000000001</c:v>
                </c:pt>
                <c:pt idx="22">
                  <c:v>4.1509999999999998</c:v>
                </c:pt>
                <c:pt idx="23">
                  <c:v>4.1050000000000004</c:v>
                </c:pt>
                <c:pt idx="24">
                  <c:v>4.1580000000000004</c:v>
                </c:pt>
                <c:pt idx="25">
                  <c:v>4.2350000000000003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9CA-4BB6-A6B3-4CB9BA0C5AC3}"/>
            </c:ext>
          </c:extLst>
        </c:ser>
        <c:ser>
          <c:idx val="1"/>
          <c:order val="1"/>
          <c:tx>
            <c:v>BC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sheet1!$A$3:$A$28</c:f>
              <c:numCache>
                <c:formatCode>General</c:formatCode>
                <c:ptCount val="26"/>
                <c:pt idx="0">
                  <c:v>7.2110000000000003</c:v>
                </c:pt>
                <c:pt idx="1">
                  <c:v>25.265000000000001</c:v>
                </c:pt>
                <c:pt idx="2">
                  <c:v>33.691000000000003</c:v>
                </c:pt>
                <c:pt idx="3">
                  <c:v>40.912999999999997</c:v>
                </c:pt>
                <c:pt idx="4">
                  <c:v>50.542000000000002</c:v>
                </c:pt>
                <c:pt idx="5">
                  <c:v>64.986000000000004</c:v>
                </c:pt>
                <c:pt idx="6">
                  <c:v>75.819000000000003</c:v>
                </c:pt>
                <c:pt idx="7">
                  <c:v>80.159000000000006</c:v>
                </c:pt>
                <c:pt idx="8">
                  <c:v>99.432000000000002</c:v>
                </c:pt>
                <c:pt idx="9">
                  <c:v>106.057</c:v>
                </c:pt>
                <c:pt idx="10">
                  <c:v>122.30500000000001</c:v>
                </c:pt>
                <c:pt idx="11">
                  <c:v>138.488</c:v>
                </c:pt>
                <c:pt idx="12">
                  <c:v>156.46299999999999</c:v>
                </c:pt>
                <c:pt idx="13">
                  <c:v>172.11</c:v>
                </c:pt>
                <c:pt idx="14">
                  <c:v>186.554</c:v>
                </c:pt>
                <c:pt idx="15">
                  <c:v>200.99799999999999</c:v>
                </c:pt>
                <c:pt idx="16">
                  <c:v>218.54900000000001</c:v>
                </c:pt>
                <c:pt idx="17">
                  <c:v>235.904</c:v>
                </c:pt>
                <c:pt idx="18">
                  <c:v>250.34800000000001</c:v>
                </c:pt>
                <c:pt idx="19">
                  <c:v>266.01799999999997</c:v>
                </c:pt>
                <c:pt idx="20">
                  <c:v>275.625</c:v>
                </c:pt>
                <c:pt idx="21">
                  <c:v>281.64299999999997</c:v>
                </c:pt>
                <c:pt idx="22">
                  <c:v>300.90100000000001</c:v>
                </c:pt>
                <c:pt idx="23">
                  <c:v>314.14100000000002</c:v>
                </c:pt>
                <c:pt idx="24">
                  <c:v>332.19600000000003</c:v>
                </c:pt>
                <c:pt idx="25">
                  <c:v>346.78899999999999</c:v>
                </c:pt>
              </c:numCache>
            </c:numRef>
          </c:xVal>
          <c:yVal>
            <c:numRef>
              <c:f>sheet1!$C$3:$C$28</c:f>
              <c:numCache>
                <c:formatCode>General</c:formatCode>
                <c:ptCount val="26"/>
                <c:pt idx="0">
                  <c:v>4.9939999999999998</c:v>
                </c:pt>
                <c:pt idx="1">
                  <c:v>4.6559999999999997</c:v>
                </c:pt>
                <c:pt idx="2">
                  <c:v>4.47</c:v>
                </c:pt>
                <c:pt idx="3">
                  <c:v>4.4029999999999996</c:v>
                </c:pt>
                <c:pt idx="4">
                  <c:v>4.3449999999999998</c:v>
                </c:pt>
                <c:pt idx="5">
                  <c:v>4.141</c:v>
                </c:pt>
                <c:pt idx="6">
                  <c:v>4.1029999999999998</c:v>
                </c:pt>
                <c:pt idx="7">
                  <c:v>4.1109999999999998</c:v>
                </c:pt>
                <c:pt idx="8">
                  <c:v>4.1740000000000004</c:v>
                </c:pt>
                <c:pt idx="9">
                  <c:v>4.2539999999999996</c:v>
                </c:pt>
                <c:pt idx="10">
                  <c:v>4.4820000000000002</c:v>
                </c:pt>
                <c:pt idx="11">
                  <c:v>4.4610000000000003</c:v>
                </c:pt>
                <c:pt idx="12">
                  <c:v>5.0190000000000001</c:v>
                </c:pt>
                <c:pt idx="13">
                  <c:v>5.1559999999999997</c:v>
                </c:pt>
                <c:pt idx="14">
                  <c:v>5.0860000000000003</c:v>
                </c:pt>
                <c:pt idx="15">
                  <c:v>5.0110000000000001</c:v>
                </c:pt>
                <c:pt idx="16">
                  <c:v>4.6849999999999996</c:v>
                </c:pt>
                <c:pt idx="17">
                  <c:v>4.2050000000000001</c:v>
                </c:pt>
                <c:pt idx="18">
                  <c:v>4.133</c:v>
                </c:pt>
                <c:pt idx="19">
                  <c:v>4.1260000000000003</c:v>
                </c:pt>
                <c:pt idx="20">
                  <c:v>4.1500000000000004</c:v>
                </c:pt>
                <c:pt idx="21">
                  <c:v>4.2359999999999998</c:v>
                </c:pt>
                <c:pt idx="22">
                  <c:v>4.4660000000000002</c:v>
                </c:pt>
                <c:pt idx="23">
                  <c:v>4.6130000000000004</c:v>
                </c:pt>
                <c:pt idx="24">
                  <c:v>4.9279999999999999</c:v>
                </c:pt>
                <c:pt idx="25">
                  <c:v>5.0609999999999999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9CA-4BB6-A6B3-4CB9BA0C5AC3}"/>
            </c:ext>
          </c:extLst>
        </c:ser>
        <c:ser>
          <c:idx val="2"/>
          <c:order val="2"/>
          <c:tx>
            <c:v>AC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sheet1!$A$3:$A$28</c:f>
              <c:numCache>
                <c:formatCode>General</c:formatCode>
                <c:ptCount val="26"/>
                <c:pt idx="0">
                  <c:v>7.2110000000000003</c:v>
                </c:pt>
                <c:pt idx="1">
                  <c:v>25.265000000000001</c:v>
                </c:pt>
                <c:pt idx="2">
                  <c:v>33.691000000000003</c:v>
                </c:pt>
                <c:pt idx="3">
                  <c:v>40.912999999999997</c:v>
                </c:pt>
                <c:pt idx="4">
                  <c:v>50.542000000000002</c:v>
                </c:pt>
                <c:pt idx="5">
                  <c:v>64.986000000000004</c:v>
                </c:pt>
                <c:pt idx="6">
                  <c:v>75.819000000000003</c:v>
                </c:pt>
                <c:pt idx="7">
                  <c:v>80.159000000000006</c:v>
                </c:pt>
                <c:pt idx="8">
                  <c:v>99.432000000000002</c:v>
                </c:pt>
                <c:pt idx="9">
                  <c:v>106.057</c:v>
                </c:pt>
                <c:pt idx="10">
                  <c:v>122.30500000000001</c:v>
                </c:pt>
                <c:pt idx="11">
                  <c:v>138.488</c:v>
                </c:pt>
                <c:pt idx="12">
                  <c:v>156.46299999999999</c:v>
                </c:pt>
                <c:pt idx="13">
                  <c:v>172.11</c:v>
                </c:pt>
                <c:pt idx="14">
                  <c:v>186.554</c:v>
                </c:pt>
                <c:pt idx="15">
                  <c:v>200.99799999999999</c:v>
                </c:pt>
                <c:pt idx="16">
                  <c:v>218.54900000000001</c:v>
                </c:pt>
                <c:pt idx="17">
                  <c:v>235.904</c:v>
                </c:pt>
                <c:pt idx="18">
                  <c:v>250.34800000000001</c:v>
                </c:pt>
                <c:pt idx="19">
                  <c:v>266.01799999999997</c:v>
                </c:pt>
                <c:pt idx="20">
                  <c:v>275.625</c:v>
                </c:pt>
                <c:pt idx="21">
                  <c:v>281.64299999999997</c:v>
                </c:pt>
                <c:pt idx="22">
                  <c:v>300.90100000000001</c:v>
                </c:pt>
                <c:pt idx="23">
                  <c:v>314.14100000000002</c:v>
                </c:pt>
                <c:pt idx="24">
                  <c:v>332.19600000000003</c:v>
                </c:pt>
                <c:pt idx="25">
                  <c:v>346.78899999999999</c:v>
                </c:pt>
              </c:numCache>
            </c:numRef>
          </c:xVal>
          <c:yVal>
            <c:numRef>
              <c:f>sheet1!$D$3:$D$28</c:f>
              <c:numCache>
                <c:formatCode>General</c:formatCode>
                <c:ptCount val="26"/>
                <c:pt idx="0">
                  <c:v>4.1740000000000004</c:v>
                </c:pt>
                <c:pt idx="1">
                  <c:v>4.1150000000000002</c:v>
                </c:pt>
                <c:pt idx="2">
                  <c:v>4.117</c:v>
                </c:pt>
                <c:pt idx="3">
                  <c:v>4.1859999999999999</c:v>
                </c:pt>
                <c:pt idx="4">
                  <c:v>4.218</c:v>
                </c:pt>
                <c:pt idx="5">
                  <c:v>4.5129999999999999</c:v>
                </c:pt>
                <c:pt idx="6">
                  <c:v>4.6349999999999998</c:v>
                </c:pt>
                <c:pt idx="7">
                  <c:v>4.5339999999999998</c:v>
                </c:pt>
                <c:pt idx="8">
                  <c:v>5.0119999999999996</c:v>
                </c:pt>
                <c:pt idx="9">
                  <c:v>5.1230000000000002</c:v>
                </c:pt>
                <c:pt idx="10">
                  <c:v>5.109</c:v>
                </c:pt>
                <c:pt idx="11">
                  <c:v>5.0860000000000003</c:v>
                </c:pt>
                <c:pt idx="12">
                  <c:v>4.585</c:v>
                </c:pt>
                <c:pt idx="13">
                  <c:v>4.3179999999999996</c:v>
                </c:pt>
                <c:pt idx="14">
                  <c:v>4.2050000000000001</c:v>
                </c:pt>
                <c:pt idx="15">
                  <c:v>4.1909999999999998</c:v>
                </c:pt>
                <c:pt idx="16">
                  <c:v>4.1360000000000001</c:v>
                </c:pt>
                <c:pt idx="17">
                  <c:v>4.3369999999999997</c:v>
                </c:pt>
                <c:pt idx="18">
                  <c:v>4.5830000000000002</c:v>
                </c:pt>
                <c:pt idx="19">
                  <c:v>4.6280000000000001</c:v>
                </c:pt>
                <c:pt idx="20">
                  <c:v>4.9889999999999999</c:v>
                </c:pt>
                <c:pt idx="21">
                  <c:v>5.0910000000000002</c:v>
                </c:pt>
                <c:pt idx="22">
                  <c:v>5.0730000000000004</c:v>
                </c:pt>
                <c:pt idx="23">
                  <c:v>4.9029999999999996</c:v>
                </c:pt>
                <c:pt idx="24">
                  <c:v>4.6159999999999997</c:v>
                </c:pt>
                <c:pt idx="25">
                  <c:v>4.476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9CA-4BB6-A6B3-4CB9BA0C5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766703"/>
        <c:axId val="1345783503"/>
      </c:scatterChart>
      <c:valAx>
        <c:axId val="1345766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电角度</a:t>
                </a:r>
                <a:r>
                  <a:rPr lang="en-US" altLang="zh-CN"/>
                  <a:t>/°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5783503"/>
        <c:crosses val="autoZero"/>
        <c:crossBetween val="midCat"/>
      </c:valAx>
      <c:valAx>
        <c:axId val="134578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相间电感</a:t>
                </a:r>
                <a:r>
                  <a:rPr lang="en-US" altLang="zh-CN"/>
                  <a:t>/mH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5766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相间电感曲线</a:t>
            </a:r>
            <a:r>
              <a:rPr lang="en-US" altLang="zh-CN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@10kHz</a:t>
            </a:r>
            <a:endParaRPr lang="zh-CN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AB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sheet1!$A$3:$A$28</c:f>
              <c:numCache>
                <c:formatCode>General</c:formatCode>
                <c:ptCount val="26"/>
                <c:pt idx="0">
                  <c:v>7.2110000000000003</c:v>
                </c:pt>
                <c:pt idx="1">
                  <c:v>25.265000000000001</c:v>
                </c:pt>
                <c:pt idx="2">
                  <c:v>33.691000000000003</c:v>
                </c:pt>
                <c:pt idx="3">
                  <c:v>40.912999999999997</c:v>
                </c:pt>
                <c:pt idx="4">
                  <c:v>50.542000000000002</c:v>
                </c:pt>
                <c:pt idx="5">
                  <c:v>64.986000000000004</c:v>
                </c:pt>
                <c:pt idx="6">
                  <c:v>75.819000000000003</c:v>
                </c:pt>
                <c:pt idx="7">
                  <c:v>80.159000000000006</c:v>
                </c:pt>
                <c:pt idx="8">
                  <c:v>99.432000000000002</c:v>
                </c:pt>
                <c:pt idx="9">
                  <c:v>106.057</c:v>
                </c:pt>
                <c:pt idx="10">
                  <c:v>122.30500000000001</c:v>
                </c:pt>
                <c:pt idx="11">
                  <c:v>138.488</c:v>
                </c:pt>
                <c:pt idx="12">
                  <c:v>156.46299999999999</c:v>
                </c:pt>
                <c:pt idx="13">
                  <c:v>172.11</c:v>
                </c:pt>
                <c:pt idx="14">
                  <c:v>186.554</c:v>
                </c:pt>
                <c:pt idx="15">
                  <c:v>200.99799999999999</c:v>
                </c:pt>
                <c:pt idx="16">
                  <c:v>218.54900000000001</c:v>
                </c:pt>
                <c:pt idx="17">
                  <c:v>235.904</c:v>
                </c:pt>
                <c:pt idx="18">
                  <c:v>250.34800000000001</c:v>
                </c:pt>
                <c:pt idx="19">
                  <c:v>266.01799999999997</c:v>
                </c:pt>
                <c:pt idx="20">
                  <c:v>275.625</c:v>
                </c:pt>
                <c:pt idx="21">
                  <c:v>281.64299999999997</c:v>
                </c:pt>
                <c:pt idx="22">
                  <c:v>300.90100000000001</c:v>
                </c:pt>
                <c:pt idx="23">
                  <c:v>314.14100000000002</c:v>
                </c:pt>
                <c:pt idx="24">
                  <c:v>332.19600000000003</c:v>
                </c:pt>
                <c:pt idx="25">
                  <c:v>346.78899999999999</c:v>
                </c:pt>
              </c:numCache>
            </c:numRef>
          </c:xVal>
          <c:yVal>
            <c:numRef>
              <c:f>sheet1!$E$3:$E$28</c:f>
              <c:numCache>
                <c:formatCode>General</c:formatCode>
                <c:ptCount val="26"/>
                <c:pt idx="0">
                  <c:v>4.5229999999999997</c:v>
                </c:pt>
                <c:pt idx="1">
                  <c:v>4.8460000000000001</c:v>
                </c:pt>
                <c:pt idx="2">
                  <c:v>4.9930000000000003</c:v>
                </c:pt>
                <c:pt idx="3">
                  <c:v>5.1020000000000003</c:v>
                </c:pt>
                <c:pt idx="4">
                  <c:v>5.1349999999999998</c:v>
                </c:pt>
                <c:pt idx="5">
                  <c:v>5.0389999999999997</c:v>
                </c:pt>
                <c:pt idx="6">
                  <c:v>4.859</c:v>
                </c:pt>
                <c:pt idx="7">
                  <c:v>4.9960000000000004</c:v>
                </c:pt>
                <c:pt idx="8">
                  <c:v>4.3860000000000001</c:v>
                </c:pt>
                <c:pt idx="9">
                  <c:v>4.2149999999999999</c:v>
                </c:pt>
                <c:pt idx="10">
                  <c:v>3.988</c:v>
                </c:pt>
                <c:pt idx="11">
                  <c:v>3.9689999999999999</c:v>
                </c:pt>
                <c:pt idx="12">
                  <c:v>3.99</c:v>
                </c:pt>
                <c:pt idx="13">
                  <c:v>4.2050000000000001</c:v>
                </c:pt>
                <c:pt idx="14">
                  <c:v>4.431</c:v>
                </c:pt>
                <c:pt idx="15">
                  <c:v>4.4930000000000003</c:v>
                </c:pt>
                <c:pt idx="16">
                  <c:v>4.8449999999999998</c:v>
                </c:pt>
                <c:pt idx="17">
                  <c:v>5.1319999999999997</c:v>
                </c:pt>
                <c:pt idx="18">
                  <c:v>4.9340000000000002</c:v>
                </c:pt>
                <c:pt idx="19">
                  <c:v>4.9080000000000004</c:v>
                </c:pt>
                <c:pt idx="20">
                  <c:v>4.41</c:v>
                </c:pt>
                <c:pt idx="21">
                  <c:v>4.2300000000000004</c:v>
                </c:pt>
                <c:pt idx="22">
                  <c:v>3.968</c:v>
                </c:pt>
                <c:pt idx="23">
                  <c:v>3.895</c:v>
                </c:pt>
                <c:pt idx="24">
                  <c:v>3.9430000000000001</c:v>
                </c:pt>
                <c:pt idx="25">
                  <c:v>4.0519999999999996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25-4F0F-A38D-52C985EDEFE0}"/>
            </c:ext>
          </c:extLst>
        </c:ser>
        <c:ser>
          <c:idx val="1"/>
          <c:order val="1"/>
          <c:tx>
            <c:v>BC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sheet1!$A$3:$A$28</c:f>
              <c:numCache>
                <c:formatCode>General</c:formatCode>
                <c:ptCount val="26"/>
                <c:pt idx="0">
                  <c:v>7.2110000000000003</c:v>
                </c:pt>
                <c:pt idx="1">
                  <c:v>25.265000000000001</c:v>
                </c:pt>
                <c:pt idx="2">
                  <c:v>33.691000000000003</c:v>
                </c:pt>
                <c:pt idx="3">
                  <c:v>40.912999999999997</c:v>
                </c:pt>
                <c:pt idx="4">
                  <c:v>50.542000000000002</c:v>
                </c:pt>
                <c:pt idx="5">
                  <c:v>64.986000000000004</c:v>
                </c:pt>
                <c:pt idx="6">
                  <c:v>75.819000000000003</c:v>
                </c:pt>
                <c:pt idx="7">
                  <c:v>80.159000000000006</c:v>
                </c:pt>
                <c:pt idx="8">
                  <c:v>99.432000000000002</c:v>
                </c:pt>
                <c:pt idx="9">
                  <c:v>106.057</c:v>
                </c:pt>
                <c:pt idx="10">
                  <c:v>122.30500000000001</c:v>
                </c:pt>
                <c:pt idx="11">
                  <c:v>138.488</c:v>
                </c:pt>
                <c:pt idx="12">
                  <c:v>156.46299999999999</c:v>
                </c:pt>
                <c:pt idx="13">
                  <c:v>172.11</c:v>
                </c:pt>
                <c:pt idx="14">
                  <c:v>186.554</c:v>
                </c:pt>
                <c:pt idx="15">
                  <c:v>200.99799999999999</c:v>
                </c:pt>
                <c:pt idx="16">
                  <c:v>218.54900000000001</c:v>
                </c:pt>
                <c:pt idx="17">
                  <c:v>235.904</c:v>
                </c:pt>
                <c:pt idx="18">
                  <c:v>250.34800000000001</c:v>
                </c:pt>
                <c:pt idx="19">
                  <c:v>266.01799999999997</c:v>
                </c:pt>
                <c:pt idx="20">
                  <c:v>275.625</c:v>
                </c:pt>
                <c:pt idx="21">
                  <c:v>281.64299999999997</c:v>
                </c:pt>
                <c:pt idx="22">
                  <c:v>300.90100000000001</c:v>
                </c:pt>
                <c:pt idx="23">
                  <c:v>314.14100000000002</c:v>
                </c:pt>
                <c:pt idx="24">
                  <c:v>332.19600000000003</c:v>
                </c:pt>
                <c:pt idx="25">
                  <c:v>346.78899999999999</c:v>
                </c:pt>
              </c:numCache>
            </c:numRef>
          </c:xVal>
          <c:yVal>
            <c:numRef>
              <c:f>sheet1!$F$3:$F$28</c:f>
              <c:numCache>
                <c:formatCode>General</c:formatCode>
                <c:ptCount val="26"/>
                <c:pt idx="0">
                  <c:v>5.0270000000000001</c:v>
                </c:pt>
                <c:pt idx="1">
                  <c:v>4.6130000000000004</c:v>
                </c:pt>
                <c:pt idx="2">
                  <c:v>4.4059999999999997</c:v>
                </c:pt>
                <c:pt idx="3">
                  <c:v>4.343</c:v>
                </c:pt>
                <c:pt idx="4">
                  <c:v>4.258</c:v>
                </c:pt>
                <c:pt idx="5">
                  <c:v>3.9550000000000001</c:v>
                </c:pt>
                <c:pt idx="6">
                  <c:v>3.9020000000000001</c:v>
                </c:pt>
                <c:pt idx="7">
                  <c:v>3.9340000000000002</c:v>
                </c:pt>
                <c:pt idx="8">
                  <c:v>3.9950000000000001</c:v>
                </c:pt>
                <c:pt idx="9">
                  <c:v>4.1219999999999999</c:v>
                </c:pt>
                <c:pt idx="10">
                  <c:v>4.3789999999999996</c:v>
                </c:pt>
                <c:pt idx="11">
                  <c:v>4.3579999999999997</c:v>
                </c:pt>
                <c:pt idx="12">
                  <c:v>5.03</c:v>
                </c:pt>
                <c:pt idx="13">
                  <c:v>5.1790000000000003</c:v>
                </c:pt>
                <c:pt idx="14">
                  <c:v>5.0979999999999999</c:v>
                </c:pt>
                <c:pt idx="15">
                  <c:v>5.0369999999999999</c:v>
                </c:pt>
                <c:pt idx="16">
                  <c:v>4.6580000000000004</c:v>
                </c:pt>
                <c:pt idx="17">
                  <c:v>4.0810000000000004</c:v>
                </c:pt>
                <c:pt idx="18">
                  <c:v>3.9129999999999998</c:v>
                </c:pt>
                <c:pt idx="19">
                  <c:v>3.903</c:v>
                </c:pt>
                <c:pt idx="20">
                  <c:v>3.9710000000000001</c:v>
                </c:pt>
                <c:pt idx="21">
                  <c:v>4.0869999999999997</c:v>
                </c:pt>
                <c:pt idx="22">
                  <c:v>4.3639999999999999</c:v>
                </c:pt>
                <c:pt idx="23">
                  <c:v>4.5659999999999998</c:v>
                </c:pt>
                <c:pt idx="24">
                  <c:v>4.9269999999999996</c:v>
                </c:pt>
                <c:pt idx="25">
                  <c:v>5.1040000000000001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25-4F0F-A38D-52C985EDEFE0}"/>
            </c:ext>
          </c:extLst>
        </c:ser>
        <c:ser>
          <c:idx val="2"/>
          <c:order val="2"/>
          <c:tx>
            <c:v>AC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sheet1!$A$3:$A$28</c:f>
              <c:numCache>
                <c:formatCode>General</c:formatCode>
                <c:ptCount val="26"/>
                <c:pt idx="0">
                  <c:v>7.2110000000000003</c:v>
                </c:pt>
                <c:pt idx="1">
                  <c:v>25.265000000000001</c:v>
                </c:pt>
                <c:pt idx="2">
                  <c:v>33.691000000000003</c:v>
                </c:pt>
                <c:pt idx="3">
                  <c:v>40.912999999999997</c:v>
                </c:pt>
                <c:pt idx="4">
                  <c:v>50.542000000000002</c:v>
                </c:pt>
                <c:pt idx="5">
                  <c:v>64.986000000000004</c:v>
                </c:pt>
                <c:pt idx="6">
                  <c:v>75.819000000000003</c:v>
                </c:pt>
                <c:pt idx="7">
                  <c:v>80.159000000000006</c:v>
                </c:pt>
                <c:pt idx="8">
                  <c:v>99.432000000000002</c:v>
                </c:pt>
                <c:pt idx="9">
                  <c:v>106.057</c:v>
                </c:pt>
                <c:pt idx="10">
                  <c:v>122.30500000000001</c:v>
                </c:pt>
                <c:pt idx="11">
                  <c:v>138.488</c:v>
                </c:pt>
                <c:pt idx="12">
                  <c:v>156.46299999999999</c:v>
                </c:pt>
                <c:pt idx="13">
                  <c:v>172.11</c:v>
                </c:pt>
                <c:pt idx="14">
                  <c:v>186.554</c:v>
                </c:pt>
                <c:pt idx="15">
                  <c:v>200.99799999999999</c:v>
                </c:pt>
                <c:pt idx="16">
                  <c:v>218.54900000000001</c:v>
                </c:pt>
                <c:pt idx="17">
                  <c:v>235.904</c:v>
                </c:pt>
                <c:pt idx="18">
                  <c:v>250.34800000000001</c:v>
                </c:pt>
                <c:pt idx="19">
                  <c:v>266.01799999999997</c:v>
                </c:pt>
                <c:pt idx="20">
                  <c:v>275.625</c:v>
                </c:pt>
                <c:pt idx="21">
                  <c:v>281.64299999999997</c:v>
                </c:pt>
                <c:pt idx="22">
                  <c:v>300.90100000000001</c:v>
                </c:pt>
                <c:pt idx="23">
                  <c:v>314.14100000000002</c:v>
                </c:pt>
                <c:pt idx="24">
                  <c:v>332.19600000000003</c:v>
                </c:pt>
                <c:pt idx="25">
                  <c:v>346.78899999999999</c:v>
                </c:pt>
              </c:numCache>
            </c:numRef>
          </c:xVal>
          <c:yVal>
            <c:numRef>
              <c:f>sheet1!$G$3:$G$28</c:f>
              <c:numCache>
                <c:formatCode>General</c:formatCode>
                <c:ptCount val="26"/>
                <c:pt idx="0">
                  <c:v>3.97</c:v>
                </c:pt>
                <c:pt idx="1">
                  <c:v>3.9060000000000001</c:v>
                </c:pt>
                <c:pt idx="2">
                  <c:v>3.9590000000000001</c:v>
                </c:pt>
                <c:pt idx="3">
                  <c:v>4.0359999999999996</c:v>
                </c:pt>
                <c:pt idx="4">
                  <c:v>4.0540000000000003</c:v>
                </c:pt>
                <c:pt idx="5">
                  <c:v>4.4400000000000004</c:v>
                </c:pt>
                <c:pt idx="6">
                  <c:v>4.6020000000000003</c:v>
                </c:pt>
                <c:pt idx="7">
                  <c:v>4.4649999999999999</c:v>
                </c:pt>
                <c:pt idx="8">
                  <c:v>5.048</c:v>
                </c:pt>
                <c:pt idx="9">
                  <c:v>5.1440000000000001</c:v>
                </c:pt>
                <c:pt idx="10">
                  <c:v>5.1109999999999998</c:v>
                </c:pt>
                <c:pt idx="11">
                  <c:v>5.1040000000000001</c:v>
                </c:pt>
                <c:pt idx="12">
                  <c:v>4.492</c:v>
                </c:pt>
                <c:pt idx="13">
                  <c:v>4.1779999999999999</c:v>
                </c:pt>
                <c:pt idx="14">
                  <c:v>4.0110000000000001</c:v>
                </c:pt>
                <c:pt idx="15">
                  <c:v>3.9780000000000002</c:v>
                </c:pt>
                <c:pt idx="16">
                  <c:v>3.9220000000000002</c:v>
                </c:pt>
                <c:pt idx="17">
                  <c:v>4.2119999999999997</c:v>
                </c:pt>
                <c:pt idx="18">
                  <c:v>4.5190000000000001</c:v>
                </c:pt>
                <c:pt idx="19">
                  <c:v>4.8390000000000004</c:v>
                </c:pt>
                <c:pt idx="20">
                  <c:v>5.0380000000000003</c:v>
                </c:pt>
                <c:pt idx="21">
                  <c:v>5.1369999999999996</c:v>
                </c:pt>
                <c:pt idx="22">
                  <c:v>5.0910000000000002</c:v>
                </c:pt>
                <c:pt idx="23">
                  <c:v>4.8979999999999997</c:v>
                </c:pt>
                <c:pt idx="24">
                  <c:v>4.5490000000000004</c:v>
                </c:pt>
                <c:pt idx="25">
                  <c:v>4.3780000000000001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25-4F0F-A38D-52C985EDE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789743"/>
        <c:axId val="1345790703"/>
      </c:scatterChart>
      <c:valAx>
        <c:axId val="1345789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电角度</a:t>
                </a:r>
                <a:r>
                  <a:rPr lang="en-US" altLang="zh-CN"/>
                  <a:t>/°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5790703"/>
        <c:crosses val="autoZero"/>
        <c:crossBetween val="midCat"/>
      </c:valAx>
      <c:valAx>
        <c:axId val="1345790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相间电感</a:t>
                </a:r>
                <a:r>
                  <a:rPr lang="en-US" altLang="zh-CN"/>
                  <a:t>/mH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57897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326571</xdr:colOff>
      <xdr:row>31</xdr:row>
      <xdr:rowOff>70757</xdr:rowOff>
    </xdr:from>
    <xdr:to>
      <xdr:col>8</xdr:col>
      <xdr:colOff>451757</xdr:colOff>
      <xdr:row>51</xdr:row>
      <xdr:rowOff>70755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15A3F656-AE80-42E7-EFBA-E88C76F18F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293914</xdr:colOff>
      <xdr:row>31</xdr:row>
      <xdr:rowOff>81642</xdr:rowOff>
    </xdr:from>
    <xdr:to>
      <xdr:col>18</xdr:col>
      <xdr:colOff>435428</xdr:colOff>
      <xdr:row>50</xdr:row>
      <xdr:rowOff>119743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04458FC6-8BEE-D157-283A-BB4A4134D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348343</xdr:colOff>
      <xdr:row>51</xdr:row>
      <xdr:rowOff>146957</xdr:rowOff>
    </xdr:from>
    <xdr:to>
      <xdr:col>8</xdr:col>
      <xdr:colOff>484414</xdr:colOff>
      <xdr:row>72</xdr:row>
      <xdr:rowOff>32657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61EA3C0-163A-6429-9F04-BB1906450A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318407</xdr:colOff>
      <xdr:row>51</xdr:row>
      <xdr:rowOff>125184</xdr:rowOff>
    </xdr:from>
    <xdr:to>
      <xdr:col>18</xdr:col>
      <xdr:colOff>413657</xdr:colOff>
      <xdr:row>72</xdr:row>
      <xdr:rowOff>76199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230BD99-FEDE-6F56-9E3E-2EFD46BD98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tabSelected="1" topLeftCell="A22" workbookViewId="0">
      <selection activeCell="P31" sqref="P31"/>
    </sheetView>
  </sheetViews>
  <sheetFormatPr defaultRowHeight="14.15" x14ac:dyDescent="0.35"/>
  <cols>
    <col min="1" max="16384" width="9.140625" style="1"/>
  </cols>
  <sheetData>
    <row r="1" spans="1:15" x14ac:dyDescent="0.35">
      <c r="A1" s="3" t="s">
        <v>0</v>
      </c>
      <c r="B1" s="3" t="s">
        <v>1</v>
      </c>
      <c r="C1" s="3"/>
      <c r="D1" s="3"/>
      <c r="E1" s="3" t="s">
        <v>2</v>
      </c>
      <c r="F1" s="3"/>
      <c r="G1" s="3"/>
      <c r="I1" s="4" t="s">
        <v>0</v>
      </c>
      <c r="J1" s="7" t="s">
        <v>8</v>
      </c>
      <c r="K1" s="8"/>
      <c r="L1" s="8"/>
      <c r="M1" s="8"/>
      <c r="N1" s="8"/>
      <c r="O1" s="9"/>
    </row>
    <row r="2" spans="1:15" x14ac:dyDescent="0.35">
      <c r="A2" s="3"/>
      <c r="B2" s="2" t="s">
        <v>3</v>
      </c>
      <c r="C2" s="2" t="s">
        <v>4</v>
      </c>
      <c r="D2" s="2" t="s">
        <v>5</v>
      </c>
      <c r="E2" s="2" t="s">
        <v>3</v>
      </c>
      <c r="F2" s="2" t="s">
        <v>4</v>
      </c>
      <c r="G2" s="2" t="s">
        <v>5</v>
      </c>
      <c r="I2" s="5"/>
      <c r="J2" s="7" t="s">
        <v>1</v>
      </c>
      <c r="K2" s="8"/>
      <c r="L2" s="9"/>
      <c r="M2" s="7" t="s">
        <v>2</v>
      </c>
      <c r="N2" s="8"/>
      <c r="O2" s="9"/>
    </row>
    <row r="3" spans="1:15" x14ac:dyDescent="0.35">
      <c r="A3" s="2">
        <v>7.2110000000000003</v>
      </c>
      <c r="B3" s="2">
        <v>4.5860000000000003</v>
      </c>
      <c r="C3" s="2">
        <v>4.9939999999999998</v>
      </c>
      <c r="D3" s="2">
        <v>4.1740000000000004</v>
      </c>
      <c r="E3" s="2">
        <v>4.5229999999999997</v>
      </c>
      <c r="F3" s="2">
        <v>5.0270000000000001</v>
      </c>
      <c r="G3" s="2">
        <v>3.97</v>
      </c>
      <c r="I3" s="6"/>
      <c r="J3" s="2" t="s">
        <v>3</v>
      </c>
      <c r="K3" s="2" t="s">
        <v>4</v>
      </c>
      <c r="L3" s="2" t="s">
        <v>5</v>
      </c>
      <c r="M3" s="2" t="s">
        <v>3</v>
      </c>
      <c r="N3" s="2" t="s">
        <v>4</v>
      </c>
      <c r="O3" s="2" t="s">
        <v>5</v>
      </c>
    </row>
    <row r="4" spans="1:15" x14ac:dyDescent="0.35">
      <c r="A4" s="2">
        <v>25.265000000000001</v>
      </c>
      <c r="B4" s="2">
        <v>4.8499999999999996</v>
      </c>
      <c r="C4" s="2">
        <v>4.6559999999999997</v>
      </c>
      <c r="D4" s="2">
        <v>4.1150000000000002</v>
      </c>
      <c r="E4" s="2">
        <v>4.8460000000000001</v>
      </c>
      <c r="F4" s="2">
        <v>4.6130000000000004</v>
      </c>
      <c r="G4" s="2">
        <v>3.9060000000000001</v>
      </c>
      <c r="I4" s="2">
        <v>7.2110000000000003</v>
      </c>
      <c r="J4" s="2">
        <f t="shared" ref="J4:O4" si="0">B3-B29</f>
        <v>3.961538461539682E-3</v>
      </c>
      <c r="K4" s="2">
        <f t="shared" si="0"/>
        <v>0.47596153846153832</v>
      </c>
      <c r="L4" s="2">
        <f t="shared" si="0"/>
        <v>-0.40111538461538476</v>
      </c>
      <c r="M4" s="2">
        <f t="shared" si="0"/>
        <v>4.2692307692302478E-3</v>
      </c>
      <c r="N4" s="2">
        <f t="shared" si="0"/>
        <v>0.59584615384615347</v>
      </c>
      <c r="O4" s="2">
        <f t="shared" si="0"/>
        <v>-0.53311538461538399</v>
      </c>
    </row>
    <row r="5" spans="1:15" x14ac:dyDescent="0.35">
      <c r="A5" s="2">
        <v>33.691000000000003</v>
      </c>
      <c r="B5" s="2">
        <v>4.9660000000000002</v>
      </c>
      <c r="C5" s="2">
        <v>4.47</v>
      </c>
      <c r="D5" s="2">
        <v>4.117</v>
      </c>
      <c r="E5" s="2">
        <v>4.9930000000000003</v>
      </c>
      <c r="F5" s="2">
        <v>4.4059999999999997</v>
      </c>
      <c r="G5" s="2">
        <v>3.9590000000000001</v>
      </c>
      <c r="I5" s="2">
        <v>25.265000000000001</v>
      </c>
      <c r="J5" s="2">
        <f t="shared" ref="J5:O5" si="1">B4-B29</f>
        <v>0.26796153846153903</v>
      </c>
      <c r="K5" s="2">
        <f t="shared" si="1"/>
        <v>0.13796153846153825</v>
      </c>
      <c r="L5" s="2">
        <f t="shared" si="1"/>
        <v>-0.46011538461538493</v>
      </c>
      <c r="M5" s="2">
        <f t="shared" si="1"/>
        <v>0.32726923076923065</v>
      </c>
      <c r="N5" s="2">
        <f t="shared" si="1"/>
        <v>0.18184615384615377</v>
      </c>
      <c r="O5" s="2">
        <f t="shared" si="1"/>
        <v>-0.59711538461538405</v>
      </c>
    </row>
    <row r="6" spans="1:15" x14ac:dyDescent="0.35">
      <c r="A6" s="2">
        <v>40.912999999999997</v>
      </c>
      <c r="B6" s="2">
        <v>5.0529999999999999</v>
      </c>
      <c r="C6" s="2">
        <v>4.4029999999999996</v>
      </c>
      <c r="D6" s="2">
        <v>4.1859999999999999</v>
      </c>
      <c r="E6" s="2">
        <v>5.1020000000000003</v>
      </c>
      <c r="F6" s="2">
        <v>4.343</v>
      </c>
      <c r="G6" s="2">
        <v>4.0359999999999996</v>
      </c>
      <c r="I6" s="2">
        <v>33.691000000000003</v>
      </c>
      <c r="J6" s="2">
        <f t="shared" ref="J6:O6" si="2">B5-B29</f>
        <v>0.38396153846153958</v>
      </c>
      <c r="K6" s="2">
        <f t="shared" si="2"/>
        <v>-4.8038461538461696E-2</v>
      </c>
      <c r="L6" s="2">
        <f t="shared" si="2"/>
        <v>-0.45811538461538515</v>
      </c>
      <c r="M6" s="2">
        <f t="shared" si="2"/>
        <v>0.47426923076923089</v>
      </c>
      <c r="N6" s="2">
        <f t="shared" si="2"/>
        <v>-2.515384615384697E-2</v>
      </c>
      <c r="O6" s="2">
        <f t="shared" si="2"/>
        <v>-0.54411538461538411</v>
      </c>
    </row>
    <row r="7" spans="1:15" x14ac:dyDescent="0.35">
      <c r="A7" s="2">
        <v>50.542000000000002</v>
      </c>
      <c r="B7" s="2">
        <v>5.0860000000000003</v>
      </c>
      <c r="C7" s="2">
        <v>4.3449999999999998</v>
      </c>
      <c r="D7" s="2">
        <v>4.218</v>
      </c>
      <c r="E7" s="2">
        <v>5.1349999999999998</v>
      </c>
      <c r="F7" s="2">
        <v>4.258</v>
      </c>
      <c r="G7" s="2">
        <v>4.0540000000000003</v>
      </c>
      <c r="I7" s="2">
        <v>40.912999999999997</v>
      </c>
      <c r="J7" s="2">
        <f t="shared" ref="J7:J29" si="3">B6-$B$29</f>
        <v>0.47096153846153932</v>
      </c>
      <c r="K7" s="2">
        <f t="shared" ref="K7:K29" si="4">C6-$C$29</f>
        <v>-0.11503846153846187</v>
      </c>
      <c r="L7" s="2">
        <f t="shared" ref="L7:L29" si="5">D6-$D$29</f>
        <v>-0.3891153846153852</v>
      </c>
      <c r="M7" s="2">
        <f t="shared" ref="M7:M29" si="6">E6-$E$29</f>
        <v>0.58326923076923087</v>
      </c>
      <c r="N7" s="2">
        <f t="shared" ref="N7:N29" si="7">F6-$F$29</f>
        <v>-8.8153846153846693E-2</v>
      </c>
      <c r="O7" s="2">
        <f t="shared" ref="O7:O29" si="8">G6-$G$29</f>
        <v>-0.4671153846153846</v>
      </c>
    </row>
    <row r="8" spans="1:15" x14ac:dyDescent="0.35">
      <c r="A8" s="2">
        <v>64.986000000000004</v>
      </c>
      <c r="B8" s="2">
        <v>4.9969999999999999</v>
      </c>
      <c r="C8" s="2">
        <v>4.141</v>
      </c>
      <c r="D8" s="2">
        <v>4.5129999999999999</v>
      </c>
      <c r="E8" s="2">
        <v>5.0389999999999997</v>
      </c>
      <c r="F8" s="2">
        <v>3.9550000000000001</v>
      </c>
      <c r="G8" s="2">
        <v>4.4400000000000004</v>
      </c>
      <c r="I8" s="2">
        <v>50.542000000000002</v>
      </c>
      <c r="J8" s="2">
        <f t="shared" si="3"/>
        <v>0.50396153846153968</v>
      </c>
      <c r="K8" s="2">
        <f t="shared" si="4"/>
        <v>-0.1730384615384617</v>
      </c>
      <c r="L8" s="2">
        <f t="shared" si="5"/>
        <v>-0.35711538461538517</v>
      </c>
      <c r="M8" s="2">
        <f t="shared" si="6"/>
        <v>0.61626923076923035</v>
      </c>
      <c r="N8" s="2">
        <f t="shared" si="7"/>
        <v>-0.17315384615384666</v>
      </c>
      <c r="O8" s="2">
        <f t="shared" si="8"/>
        <v>-0.44911538461538392</v>
      </c>
    </row>
    <row r="9" spans="1:15" x14ac:dyDescent="0.35">
      <c r="A9" s="2">
        <v>75.819000000000003</v>
      </c>
      <c r="B9" s="2">
        <v>4.8479999999999999</v>
      </c>
      <c r="C9" s="2">
        <v>4.1029999999999998</v>
      </c>
      <c r="D9" s="2">
        <v>4.6349999999999998</v>
      </c>
      <c r="E9" s="2">
        <v>4.859</v>
      </c>
      <c r="F9" s="2">
        <v>3.9020000000000001</v>
      </c>
      <c r="G9" s="2">
        <v>4.6020000000000003</v>
      </c>
      <c r="I9" s="2">
        <v>64.986000000000004</v>
      </c>
      <c r="J9" s="2">
        <f t="shared" si="3"/>
        <v>0.41496153846153927</v>
      </c>
      <c r="K9" s="2">
        <f t="shared" si="4"/>
        <v>-0.37703846153846143</v>
      </c>
      <c r="L9" s="2">
        <f t="shared" si="5"/>
        <v>-6.2115384615385238E-2</v>
      </c>
      <c r="M9" s="2">
        <f t="shared" si="6"/>
        <v>0.52026923076923026</v>
      </c>
      <c r="N9" s="2">
        <f t="shared" si="7"/>
        <v>-0.47615384615384659</v>
      </c>
      <c r="O9" s="2">
        <f t="shared" si="8"/>
        <v>-6.3115384615383796E-2</v>
      </c>
    </row>
    <row r="10" spans="1:15" x14ac:dyDescent="0.35">
      <c r="A10" s="2">
        <v>80.159000000000006</v>
      </c>
      <c r="B10" s="2">
        <v>4.96</v>
      </c>
      <c r="C10" s="2">
        <v>4.1109999999999998</v>
      </c>
      <c r="D10" s="2">
        <v>4.5339999999999998</v>
      </c>
      <c r="E10" s="2">
        <v>4.9960000000000004</v>
      </c>
      <c r="F10" s="2">
        <v>3.9340000000000002</v>
      </c>
      <c r="G10" s="2">
        <v>4.4649999999999999</v>
      </c>
      <c r="I10" s="2">
        <v>75.819000000000003</v>
      </c>
      <c r="J10" s="2">
        <f t="shared" si="3"/>
        <v>0.26596153846153925</v>
      </c>
      <c r="K10" s="2">
        <f t="shared" si="4"/>
        <v>-0.41503846153846169</v>
      </c>
      <c r="L10" s="2">
        <f t="shared" si="5"/>
        <v>5.9884615384614648E-2</v>
      </c>
      <c r="M10" s="2">
        <f t="shared" si="6"/>
        <v>0.34026923076923055</v>
      </c>
      <c r="N10" s="2">
        <f t="shared" si="7"/>
        <v>-0.52915384615384653</v>
      </c>
      <c r="O10" s="2">
        <f t="shared" si="8"/>
        <v>9.8884615384616126E-2</v>
      </c>
    </row>
    <row r="11" spans="1:15" x14ac:dyDescent="0.35">
      <c r="A11" s="2">
        <v>99.432000000000002</v>
      </c>
      <c r="B11" s="2">
        <v>4.4729999999999999</v>
      </c>
      <c r="C11" s="2">
        <v>4.1740000000000004</v>
      </c>
      <c r="D11" s="2">
        <v>5.0119999999999996</v>
      </c>
      <c r="E11" s="2">
        <v>4.3860000000000001</v>
      </c>
      <c r="F11" s="2">
        <v>3.9950000000000001</v>
      </c>
      <c r="G11" s="2">
        <v>5.048</v>
      </c>
      <c r="I11" s="2">
        <v>80.159000000000006</v>
      </c>
      <c r="J11" s="2">
        <f t="shared" si="3"/>
        <v>0.37796153846153935</v>
      </c>
      <c r="K11" s="2">
        <f t="shared" si="4"/>
        <v>-0.40703846153846168</v>
      </c>
      <c r="L11" s="2">
        <f t="shared" si="5"/>
        <v>-4.1115384615385331E-2</v>
      </c>
      <c r="M11" s="2">
        <f t="shared" si="6"/>
        <v>0.477269230769231</v>
      </c>
      <c r="N11" s="2">
        <f t="shared" si="7"/>
        <v>-0.4971538461538465</v>
      </c>
      <c r="O11" s="2">
        <f t="shared" si="8"/>
        <v>-3.8115384615384329E-2</v>
      </c>
    </row>
    <row r="12" spans="1:15" x14ac:dyDescent="0.35">
      <c r="A12" s="2">
        <v>106.057</v>
      </c>
      <c r="B12" s="2">
        <v>4.3449999999999998</v>
      </c>
      <c r="C12" s="2">
        <v>4.2539999999999996</v>
      </c>
      <c r="D12" s="2">
        <v>5.1230000000000002</v>
      </c>
      <c r="E12" s="2">
        <v>4.2149999999999999</v>
      </c>
      <c r="F12" s="2">
        <v>4.1219999999999999</v>
      </c>
      <c r="G12" s="2">
        <v>5.1440000000000001</v>
      </c>
      <c r="I12" s="2">
        <v>99.432000000000002</v>
      </c>
      <c r="J12" s="2">
        <f t="shared" si="3"/>
        <v>-0.10903846153846075</v>
      </c>
      <c r="K12" s="2">
        <f t="shared" si="4"/>
        <v>-0.34403846153846107</v>
      </c>
      <c r="L12" s="2">
        <f t="shared" si="5"/>
        <v>0.43688461538461443</v>
      </c>
      <c r="M12" s="2">
        <f t="shared" si="6"/>
        <v>-0.13273076923076932</v>
      </c>
      <c r="N12" s="2">
        <f t="shared" si="7"/>
        <v>-0.43615384615384656</v>
      </c>
      <c r="O12" s="2">
        <f t="shared" si="8"/>
        <v>0.54488461538461586</v>
      </c>
    </row>
    <row r="13" spans="1:15" x14ac:dyDescent="0.35">
      <c r="A13" s="2">
        <v>122.30500000000001</v>
      </c>
      <c r="B13" s="2">
        <v>4.1740000000000004</v>
      </c>
      <c r="C13" s="2">
        <v>4.4820000000000002</v>
      </c>
      <c r="D13" s="2">
        <v>5.109</v>
      </c>
      <c r="E13" s="2">
        <v>3.988</v>
      </c>
      <c r="F13" s="2">
        <v>4.3789999999999996</v>
      </c>
      <c r="G13" s="2">
        <v>5.1109999999999998</v>
      </c>
      <c r="I13" s="2">
        <v>106.057</v>
      </c>
      <c r="J13" s="2">
        <f t="shared" si="3"/>
        <v>-0.23703846153846087</v>
      </c>
      <c r="K13" s="2">
        <f t="shared" si="4"/>
        <v>-0.26403846153846189</v>
      </c>
      <c r="L13" s="2">
        <f t="shared" si="5"/>
        <v>0.54788461538461508</v>
      </c>
      <c r="M13" s="2">
        <f t="shared" si="6"/>
        <v>-0.30373076923076958</v>
      </c>
      <c r="N13" s="2">
        <f t="shared" si="7"/>
        <v>-0.30915384615384678</v>
      </c>
      <c r="O13" s="2">
        <f t="shared" si="8"/>
        <v>0.64088461538461594</v>
      </c>
    </row>
    <row r="14" spans="1:15" x14ac:dyDescent="0.35">
      <c r="A14" s="2">
        <v>138.488</v>
      </c>
      <c r="B14" s="2">
        <v>4.1500000000000004</v>
      </c>
      <c r="C14" s="2">
        <v>4.4610000000000003</v>
      </c>
      <c r="D14" s="2">
        <v>5.0860000000000003</v>
      </c>
      <c r="E14" s="2">
        <v>3.9689999999999999</v>
      </c>
      <c r="F14" s="2">
        <v>4.3579999999999997</v>
      </c>
      <c r="G14" s="2">
        <v>5.1040000000000001</v>
      </c>
      <c r="I14" s="2">
        <v>122.30500000000001</v>
      </c>
      <c r="J14" s="2">
        <f t="shared" si="3"/>
        <v>-0.40803846153846024</v>
      </c>
      <c r="K14" s="2">
        <f t="shared" si="4"/>
        <v>-3.6038461538461242E-2</v>
      </c>
      <c r="L14" s="2">
        <f t="shared" si="5"/>
        <v>0.53388461538461485</v>
      </c>
      <c r="M14" s="2">
        <f t="shared" si="6"/>
        <v>-0.53073076923076945</v>
      </c>
      <c r="N14" s="2">
        <f t="shared" si="7"/>
        <v>-5.2153846153847105E-2</v>
      </c>
      <c r="O14" s="2">
        <f t="shared" si="8"/>
        <v>0.60788461538461558</v>
      </c>
    </row>
    <row r="15" spans="1:15" x14ac:dyDescent="0.35">
      <c r="A15" s="2">
        <v>156.46299999999999</v>
      </c>
      <c r="B15" s="2">
        <v>4.1900000000000004</v>
      </c>
      <c r="C15" s="2">
        <v>5.0190000000000001</v>
      </c>
      <c r="D15" s="2">
        <v>4.585</v>
      </c>
      <c r="E15" s="2">
        <v>3.99</v>
      </c>
      <c r="F15" s="2">
        <v>5.03</v>
      </c>
      <c r="G15" s="2">
        <v>4.492</v>
      </c>
      <c r="I15" s="2">
        <v>138.488</v>
      </c>
      <c r="J15" s="2">
        <f t="shared" si="3"/>
        <v>-0.43203846153846026</v>
      </c>
      <c r="K15" s="2">
        <f t="shared" si="4"/>
        <v>-5.7038461538461149E-2</v>
      </c>
      <c r="L15" s="2">
        <f t="shared" si="5"/>
        <v>0.51088461538461516</v>
      </c>
      <c r="M15" s="2">
        <f t="shared" si="6"/>
        <v>-0.54973076923076958</v>
      </c>
      <c r="N15" s="2">
        <f t="shared" si="7"/>
        <v>-7.3153846153847013E-2</v>
      </c>
      <c r="O15" s="2">
        <f t="shared" si="8"/>
        <v>0.60088461538461591</v>
      </c>
    </row>
    <row r="16" spans="1:15" x14ac:dyDescent="0.35">
      <c r="A16" s="2">
        <v>172.11</v>
      </c>
      <c r="B16" s="2">
        <v>4.343</v>
      </c>
      <c r="C16" s="2">
        <v>5.1559999999999997</v>
      </c>
      <c r="D16" s="2">
        <v>4.3179999999999996</v>
      </c>
      <c r="E16" s="2">
        <v>4.2050000000000001</v>
      </c>
      <c r="F16" s="2">
        <v>5.1790000000000003</v>
      </c>
      <c r="G16" s="2">
        <v>4.1779999999999999</v>
      </c>
      <c r="I16" s="2">
        <v>156.46299999999999</v>
      </c>
      <c r="J16" s="2">
        <f t="shared" si="3"/>
        <v>-0.39203846153846023</v>
      </c>
      <c r="K16" s="2">
        <f t="shared" si="4"/>
        <v>0.50096153846153868</v>
      </c>
      <c r="L16" s="2">
        <f t="shared" si="5"/>
        <v>9.8846153846148255E-3</v>
      </c>
      <c r="M16" s="2">
        <f t="shared" si="6"/>
        <v>-0.52873076923076923</v>
      </c>
      <c r="N16" s="2">
        <f t="shared" si="7"/>
        <v>0.59884615384615358</v>
      </c>
      <c r="O16" s="2">
        <f t="shared" si="8"/>
        <v>-1.1115384615384194E-2</v>
      </c>
    </row>
    <row r="17" spans="1:16" x14ac:dyDescent="0.35">
      <c r="A17" s="2">
        <v>186.554</v>
      </c>
      <c r="B17" s="2">
        <v>4.5389999999999997</v>
      </c>
      <c r="C17" s="2">
        <v>5.0860000000000003</v>
      </c>
      <c r="D17" s="2">
        <v>4.2050000000000001</v>
      </c>
      <c r="E17" s="2">
        <v>4.431</v>
      </c>
      <c r="F17" s="2">
        <v>5.0979999999999999</v>
      </c>
      <c r="G17" s="2">
        <v>4.0110000000000001</v>
      </c>
      <c r="I17" s="2">
        <v>172.11</v>
      </c>
      <c r="J17" s="2">
        <f t="shared" si="3"/>
        <v>-0.23903846153846064</v>
      </c>
      <c r="K17" s="2">
        <f t="shared" si="4"/>
        <v>0.63796153846153825</v>
      </c>
      <c r="L17" s="2">
        <f t="shared" si="5"/>
        <v>-0.25711538461538552</v>
      </c>
      <c r="M17" s="2">
        <f t="shared" si="6"/>
        <v>-0.31373076923076937</v>
      </c>
      <c r="N17" s="2">
        <f t="shared" si="7"/>
        <v>0.74784615384615361</v>
      </c>
      <c r="O17" s="2">
        <f t="shared" si="8"/>
        <v>-0.32511538461538425</v>
      </c>
    </row>
    <row r="18" spans="1:16" x14ac:dyDescent="0.35">
      <c r="A18" s="2">
        <v>200.99799999999999</v>
      </c>
      <c r="B18" s="2">
        <v>4.5590000000000002</v>
      </c>
      <c r="C18" s="2">
        <v>5.0110000000000001</v>
      </c>
      <c r="D18" s="2">
        <v>4.1909999999999998</v>
      </c>
      <c r="E18" s="2">
        <v>4.4930000000000003</v>
      </c>
      <c r="F18" s="2">
        <v>5.0369999999999999</v>
      </c>
      <c r="G18" s="2">
        <v>3.9780000000000002</v>
      </c>
      <c r="I18" s="2">
        <v>186.554</v>
      </c>
      <c r="J18" s="2">
        <f t="shared" si="3"/>
        <v>-4.3038461538460915E-2</v>
      </c>
      <c r="K18" s="2">
        <f t="shared" si="4"/>
        <v>0.56796153846153885</v>
      </c>
      <c r="L18" s="2">
        <f t="shared" si="5"/>
        <v>-0.37011538461538507</v>
      </c>
      <c r="M18" s="2">
        <f t="shared" si="6"/>
        <v>-8.773076923076939E-2</v>
      </c>
      <c r="N18" s="2">
        <f t="shared" si="7"/>
        <v>0.6668461538461532</v>
      </c>
      <c r="O18" s="2">
        <f t="shared" si="8"/>
        <v>-0.49211538461538407</v>
      </c>
    </row>
    <row r="19" spans="1:16" x14ac:dyDescent="0.35">
      <c r="A19" s="2">
        <v>218.54900000000001</v>
      </c>
      <c r="B19" s="2">
        <v>4.8410000000000002</v>
      </c>
      <c r="C19" s="2">
        <v>4.6849999999999996</v>
      </c>
      <c r="D19" s="2">
        <v>4.1360000000000001</v>
      </c>
      <c r="E19" s="2">
        <v>4.8449999999999998</v>
      </c>
      <c r="F19" s="2">
        <v>4.6580000000000004</v>
      </c>
      <c r="G19" s="2">
        <v>3.9220000000000002</v>
      </c>
      <c r="I19" s="2">
        <v>200.99799999999999</v>
      </c>
      <c r="J19" s="2">
        <f t="shared" si="3"/>
        <v>-2.3038461538460453E-2</v>
      </c>
      <c r="K19" s="2">
        <f t="shared" si="4"/>
        <v>0.49296153846153867</v>
      </c>
      <c r="L19" s="2">
        <f t="shared" si="5"/>
        <v>-0.3841153846153853</v>
      </c>
      <c r="M19" s="2">
        <f t="shared" si="6"/>
        <v>-2.5730769230769113E-2</v>
      </c>
      <c r="N19" s="2">
        <f t="shared" si="7"/>
        <v>0.60584615384615326</v>
      </c>
      <c r="O19" s="2">
        <f t="shared" si="8"/>
        <v>-0.52511538461538398</v>
      </c>
    </row>
    <row r="20" spans="1:16" x14ac:dyDescent="0.35">
      <c r="A20" s="2">
        <v>235.904</v>
      </c>
      <c r="B20" s="2">
        <v>5.0960000000000001</v>
      </c>
      <c r="C20" s="2">
        <v>4.2050000000000001</v>
      </c>
      <c r="D20" s="2">
        <v>4.3369999999999997</v>
      </c>
      <c r="E20" s="2">
        <v>5.1319999999999997</v>
      </c>
      <c r="F20" s="2">
        <v>4.0810000000000004</v>
      </c>
      <c r="G20" s="2">
        <v>4.2119999999999997</v>
      </c>
      <c r="I20" s="2">
        <v>218.54900000000001</v>
      </c>
      <c r="J20" s="2">
        <f t="shared" si="3"/>
        <v>0.25896153846153958</v>
      </c>
      <c r="K20" s="2">
        <f t="shared" si="4"/>
        <v>0.16696153846153816</v>
      </c>
      <c r="L20" s="2">
        <f t="shared" si="5"/>
        <v>-0.43911538461538502</v>
      </c>
      <c r="M20" s="2">
        <f t="shared" si="6"/>
        <v>0.32626923076923031</v>
      </c>
      <c r="N20" s="2">
        <f t="shared" si="7"/>
        <v>0.2268461538461537</v>
      </c>
      <c r="O20" s="2">
        <f t="shared" si="8"/>
        <v>-0.58111538461538403</v>
      </c>
    </row>
    <row r="21" spans="1:16" x14ac:dyDescent="0.35">
      <c r="A21" s="2">
        <v>250.34800000000001</v>
      </c>
      <c r="B21" s="2">
        <v>4.93</v>
      </c>
      <c r="C21" s="2">
        <v>4.133</v>
      </c>
      <c r="D21" s="2">
        <v>4.5830000000000002</v>
      </c>
      <c r="E21" s="2">
        <v>4.9340000000000002</v>
      </c>
      <c r="F21" s="2">
        <v>3.9129999999999998</v>
      </c>
      <c r="G21" s="2">
        <v>4.5190000000000001</v>
      </c>
      <c r="I21" s="2">
        <v>235.904</v>
      </c>
      <c r="J21" s="2">
        <f t="shared" si="3"/>
        <v>0.51396153846153947</v>
      </c>
      <c r="K21" s="2">
        <f t="shared" si="4"/>
        <v>-0.31303846153846138</v>
      </c>
      <c r="L21" s="2">
        <f t="shared" si="5"/>
        <v>-0.23811538461538539</v>
      </c>
      <c r="M21" s="2">
        <f t="shared" si="6"/>
        <v>0.61326923076923023</v>
      </c>
      <c r="N21" s="2">
        <f t="shared" si="7"/>
        <v>-0.35015384615384626</v>
      </c>
      <c r="O21" s="2">
        <f t="shared" si="8"/>
        <v>-0.29111538461538444</v>
      </c>
    </row>
    <row r="22" spans="1:16" x14ac:dyDescent="0.35">
      <c r="A22" s="2">
        <v>266.01799999999997</v>
      </c>
      <c r="B22" s="2">
        <v>4.6769999999999996</v>
      </c>
      <c r="C22" s="2">
        <v>4.1260000000000003</v>
      </c>
      <c r="D22" s="2">
        <v>4.6280000000000001</v>
      </c>
      <c r="E22" s="2">
        <v>4.9080000000000004</v>
      </c>
      <c r="F22" s="2">
        <v>3.903</v>
      </c>
      <c r="G22" s="2">
        <v>4.8390000000000004</v>
      </c>
      <c r="I22" s="2">
        <v>250.34800000000001</v>
      </c>
      <c r="J22" s="2">
        <f t="shared" si="3"/>
        <v>0.3479615384615391</v>
      </c>
      <c r="K22" s="2">
        <f t="shared" si="4"/>
        <v>-0.38503846153846144</v>
      </c>
      <c r="L22" s="2">
        <f t="shared" si="5"/>
        <v>7.8846153846150457E-3</v>
      </c>
      <c r="M22" s="2">
        <f t="shared" si="6"/>
        <v>0.41526923076923072</v>
      </c>
      <c r="N22" s="2">
        <f t="shared" si="7"/>
        <v>-0.51815384615384685</v>
      </c>
      <c r="O22" s="2">
        <f t="shared" si="8"/>
        <v>1.5884615384615941E-2</v>
      </c>
    </row>
    <row r="23" spans="1:16" x14ac:dyDescent="0.35">
      <c r="A23" s="2">
        <v>275.625</v>
      </c>
      <c r="B23" s="2">
        <v>4.4829999999999997</v>
      </c>
      <c r="C23" s="2">
        <v>4.1500000000000004</v>
      </c>
      <c r="D23" s="2">
        <v>4.9889999999999999</v>
      </c>
      <c r="E23" s="2">
        <v>4.41</v>
      </c>
      <c r="F23" s="2">
        <v>3.9710000000000001</v>
      </c>
      <c r="G23" s="2">
        <v>5.0380000000000003</v>
      </c>
      <c r="I23" s="2">
        <v>266.01799999999997</v>
      </c>
      <c r="J23" s="2">
        <f t="shared" si="3"/>
        <v>9.4961538461538986E-2</v>
      </c>
      <c r="K23" s="2">
        <f t="shared" si="4"/>
        <v>-0.39203846153846111</v>
      </c>
      <c r="L23" s="2">
        <f t="shared" si="5"/>
        <v>5.2884615384614975E-2</v>
      </c>
      <c r="M23" s="2">
        <f t="shared" si="6"/>
        <v>0.38926923076923092</v>
      </c>
      <c r="N23" s="2">
        <f t="shared" si="7"/>
        <v>-0.52815384615384664</v>
      </c>
      <c r="O23" s="2">
        <f t="shared" si="8"/>
        <v>0.33588461538461623</v>
      </c>
    </row>
    <row r="24" spans="1:16" x14ac:dyDescent="0.35">
      <c r="A24" s="2">
        <v>281.64299999999997</v>
      </c>
      <c r="B24" s="2">
        <v>4.3380000000000001</v>
      </c>
      <c r="C24" s="2">
        <v>4.2359999999999998</v>
      </c>
      <c r="D24" s="2">
        <v>5.0910000000000002</v>
      </c>
      <c r="E24" s="2">
        <v>4.2300000000000004</v>
      </c>
      <c r="F24" s="2">
        <v>4.0869999999999997</v>
      </c>
      <c r="G24" s="2">
        <v>5.1369999999999996</v>
      </c>
      <c r="I24" s="2">
        <v>275.625</v>
      </c>
      <c r="J24" s="2">
        <f t="shared" si="3"/>
        <v>-9.9038461538460965E-2</v>
      </c>
      <c r="K24" s="2">
        <f t="shared" si="4"/>
        <v>-0.36803846153846109</v>
      </c>
      <c r="L24" s="2">
        <f t="shared" si="5"/>
        <v>0.41388461538461474</v>
      </c>
      <c r="M24" s="2">
        <f t="shared" si="6"/>
        <v>-0.1087307692307693</v>
      </c>
      <c r="N24" s="2">
        <f t="shared" si="7"/>
        <v>-0.46015384615384658</v>
      </c>
      <c r="O24" s="2">
        <f t="shared" si="8"/>
        <v>0.53488461538461607</v>
      </c>
    </row>
    <row r="25" spans="1:16" x14ac:dyDescent="0.35">
      <c r="A25" s="2">
        <v>300.90100000000001</v>
      </c>
      <c r="B25" s="2">
        <v>4.1509999999999998</v>
      </c>
      <c r="C25" s="2">
        <v>4.4660000000000002</v>
      </c>
      <c r="D25" s="2">
        <v>5.0730000000000004</v>
      </c>
      <c r="E25" s="2">
        <v>3.968</v>
      </c>
      <c r="F25" s="2">
        <v>4.3639999999999999</v>
      </c>
      <c r="G25" s="2">
        <v>5.0910000000000002</v>
      </c>
      <c r="I25" s="2">
        <v>281.64299999999997</v>
      </c>
      <c r="J25" s="2">
        <f t="shared" si="3"/>
        <v>-0.24403846153846054</v>
      </c>
      <c r="K25" s="2">
        <f t="shared" si="4"/>
        <v>-0.28203846153846168</v>
      </c>
      <c r="L25" s="2">
        <f t="shared" si="5"/>
        <v>0.51588461538461505</v>
      </c>
      <c r="M25" s="2">
        <f t="shared" si="6"/>
        <v>-0.28873076923076901</v>
      </c>
      <c r="N25" s="2">
        <f t="shared" si="7"/>
        <v>-0.34415384615384692</v>
      </c>
      <c r="O25" s="2">
        <f t="shared" si="8"/>
        <v>0.63388461538461538</v>
      </c>
    </row>
    <row r="26" spans="1:16" x14ac:dyDescent="0.35">
      <c r="A26" s="2">
        <v>314.14100000000002</v>
      </c>
      <c r="B26" s="2">
        <v>4.1050000000000004</v>
      </c>
      <c r="C26" s="2">
        <v>4.6130000000000004</v>
      </c>
      <c r="D26" s="2">
        <v>4.9029999999999996</v>
      </c>
      <c r="E26" s="2">
        <v>3.895</v>
      </c>
      <c r="F26" s="2">
        <v>4.5659999999999998</v>
      </c>
      <c r="G26" s="2">
        <v>4.8979999999999997</v>
      </c>
      <c r="I26" s="2">
        <v>300.90100000000001</v>
      </c>
      <c r="J26" s="2">
        <f t="shared" si="3"/>
        <v>-0.43103846153846082</v>
      </c>
      <c r="K26" s="2">
        <f t="shared" si="4"/>
        <v>-5.2038461538461256E-2</v>
      </c>
      <c r="L26" s="2">
        <f t="shared" si="5"/>
        <v>0.49788461538461526</v>
      </c>
      <c r="M26" s="2">
        <f t="shared" si="6"/>
        <v>-0.55073076923076947</v>
      </c>
      <c r="N26" s="2">
        <f t="shared" si="7"/>
        <v>-6.7153846153846786E-2</v>
      </c>
      <c r="O26" s="2">
        <f t="shared" si="8"/>
        <v>0.587884615384616</v>
      </c>
    </row>
    <row r="27" spans="1:16" x14ac:dyDescent="0.35">
      <c r="A27" s="2">
        <v>332.19600000000003</v>
      </c>
      <c r="B27" s="2">
        <v>4.1580000000000004</v>
      </c>
      <c r="C27" s="2">
        <v>4.9279999999999999</v>
      </c>
      <c r="D27" s="2">
        <v>4.6159999999999997</v>
      </c>
      <c r="E27" s="2">
        <v>3.9430000000000001</v>
      </c>
      <c r="F27" s="2">
        <v>4.9269999999999996</v>
      </c>
      <c r="G27" s="2">
        <v>4.5490000000000004</v>
      </c>
      <c r="I27" s="2">
        <v>314.14100000000002</v>
      </c>
      <c r="J27" s="2">
        <f t="shared" si="3"/>
        <v>-0.47703846153846019</v>
      </c>
      <c r="K27" s="2">
        <f t="shared" si="4"/>
        <v>9.4961538461538986E-2</v>
      </c>
      <c r="L27" s="2">
        <f t="shared" si="5"/>
        <v>0.32788461538461444</v>
      </c>
      <c r="M27" s="2">
        <f t="shared" si="6"/>
        <v>-0.62373076923076942</v>
      </c>
      <c r="N27" s="2">
        <f t="shared" si="7"/>
        <v>0.13484615384615317</v>
      </c>
      <c r="O27" s="2">
        <f t="shared" si="8"/>
        <v>0.3948846153846155</v>
      </c>
    </row>
    <row r="28" spans="1:16" x14ac:dyDescent="0.35">
      <c r="A28" s="2">
        <v>346.78899999999999</v>
      </c>
      <c r="B28" s="2">
        <v>4.2350000000000003</v>
      </c>
      <c r="C28" s="2">
        <v>5.0609999999999999</v>
      </c>
      <c r="D28" s="2">
        <v>4.476</v>
      </c>
      <c r="E28" s="2">
        <v>4.0519999999999996</v>
      </c>
      <c r="F28" s="2">
        <v>5.1040000000000001</v>
      </c>
      <c r="G28" s="2">
        <v>4.3780000000000001</v>
      </c>
      <c r="I28" s="2">
        <v>332.19600000000003</v>
      </c>
      <c r="J28" s="2">
        <f t="shared" si="3"/>
        <v>-0.42403846153846025</v>
      </c>
      <c r="K28" s="2">
        <f t="shared" si="4"/>
        <v>0.40996153846153849</v>
      </c>
      <c r="L28" s="2">
        <f t="shared" si="5"/>
        <v>4.088461538461452E-2</v>
      </c>
      <c r="M28" s="2">
        <f t="shared" si="6"/>
        <v>-0.57573076923076938</v>
      </c>
      <c r="N28" s="2">
        <f t="shared" si="7"/>
        <v>0.49584615384615294</v>
      </c>
      <c r="O28" s="2">
        <f t="shared" si="8"/>
        <v>4.588461538461619E-2</v>
      </c>
    </row>
    <row r="29" spans="1:16" x14ac:dyDescent="0.35">
      <c r="A29" s="2" t="s">
        <v>7</v>
      </c>
      <c r="B29" s="2">
        <f>AVERAGE(B3:B28)</f>
        <v>4.5820384615384606</v>
      </c>
      <c r="C29" s="2">
        <f t="shared" ref="C29:G29" si="9">AVERAGE(C3:C28)</f>
        <v>4.5180384615384614</v>
      </c>
      <c r="D29" s="2">
        <f t="shared" si="9"/>
        <v>4.5751153846153851</v>
      </c>
      <c r="E29" s="2">
        <f t="shared" si="9"/>
        <v>4.5187307692307694</v>
      </c>
      <c r="F29" s="2">
        <f t="shared" si="9"/>
        <v>4.4311538461538467</v>
      </c>
      <c r="G29" s="2">
        <f t="shared" si="9"/>
        <v>4.5031153846153842</v>
      </c>
      <c r="I29" s="2">
        <v>346.78899999999999</v>
      </c>
      <c r="J29" s="2">
        <f t="shared" si="3"/>
        <v>-0.3470384615384603</v>
      </c>
      <c r="K29" s="2">
        <f t="shared" si="4"/>
        <v>0.5429615384615385</v>
      </c>
      <c r="L29" s="2">
        <f t="shared" si="5"/>
        <v>-9.911538461538516E-2</v>
      </c>
      <c r="M29" s="2">
        <f t="shared" si="6"/>
        <v>-0.46673076923076984</v>
      </c>
      <c r="N29" s="2">
        <f t="shared" si="7"/>
        <v>0.67284615384615343</v>
      </c>
      <c r="O29" s="2">
        <f t="shared" si="8"/>
        <v>-0.12511538461538407</v>
      </c>
    </row>
    <row r="30" spans="1:16" x14ac:dyDescent="0.35">
      <c r="I30" s="2" t="s">
        <v>6</v>
      </c>
      <c r="J30" s="2">
        <v>4.5820384615384606</v>
      </c>
      <c r="K30" s="2">
        <v>4.5180384615384614</v>
      </c>
      <c r="L30" s="2">
        <v>4.5751153846153851</v>
      </c>
      <c r="M30" s="2">
        <v>4.5187307692307694</v>
      </c>
      <c r="N30" s="2">
        <v>4.4311538461538467</v>
      </c>
      <c r="O30" s="2">
        <v>4.5031153846153842</v>
      </c>
      <c r="P30" s="1">
        <f>AVERAGE(J30:O30)</f>
        <v>4.5213653846153852</v>
      </c>
    </row>
  </sheetData>
  <mergeCells count="7">
    <mergeCell ref="A1:A2"/>
    <mergeCell ref="I1:I3"/>
    <mergeCell ref="J1:O1"/>
    <mergeCell ref="J2:L2"/>
    <mergeCell ref="M2:O2"/>
    <mergeCell ref="B1:D1"/>
    <mergeCell ref="E1:G1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Binghong Liu</dc:creator>
  <cp:lastModifiedBy>Binghong Liu</cp:lastModifiedBy>
  <dcterms:created xsi:type="dcterms:W3CDTF">2015-06-05T18:19:34Z</dcterms:created>
  <dcterms:modified xsi:type="dcterms:W3CDTF">2026-05-04T14:19:50Z</dcterms:modified>
</cp:coreProperties>
</file>