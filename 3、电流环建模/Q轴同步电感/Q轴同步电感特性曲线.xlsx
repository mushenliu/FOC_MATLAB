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个人资源\大学学习\课外项目与专业软件资料\FOC\参数测量\"/>
    </mc:Choice>
  </mc:AlternateContent>
  <xr:revisionPtr revIDLastSave="0" documentId="13_ncr:1_{57BE839F-9BBB-4B78-A575-0958A27B7A2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<sst xmlns="http://schemas.openxmlformats.org/spreadsheetml/2006/main" count="2" uniqueCount="2">
  <si>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工作点电压/V</t>
    <phoneticPr fontId="1" type="noConversion"/>
  </si>
  <si>
    <t>辨识结果/mH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</si>
</sst>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</a:t>
            </a:r>
            <a:r>
              <a:rPr lang="zh-CN" altLang="en-US"/>
              <a:t>轴同步电感辨识结果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辨识结果/mH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2.4367979903710002</c:v>
                </c:pt>
                <c:pt idx="1">
                  <c:v>2.309814575076</c:v>
                </c:pt>
                <c:pt idx="2">
                  <c:v>2.2596801619780003</c:v>
                </c:pt>
                <c:pt idx="3">
                  <c:v>2.4147869529250001</c:v>
                </c:pt>
                <c:pt idx="4">
                  <c:v>2.2691973046559997</c:v>
                </c:pt>
                <c:pt idx="5">
                  <c:v>2.416553487322</c:v>
                </c:pt>
                <c:pt idx="6">
                  <c:v>2.3864500009009997</c:v>
                </c:pt>
                <c:pt idx="7">
                  <c:v>2.5648836882720003</c:v>
                </c:pt>
                <c:pt idx="8">
                  <c:v>2.4747798086800001</c:v>
                </c:pt>
                <c:pt idx="9">
                  <c:v>2.5845116321020001</c:v>
                </c:pt>
                <c:pt idx="10">
                  <c:v>2.446163637328</c:v>
                </c:pt>
                <c:pt idx="11">
                  <c:v>2.2609888176400004</c:v>
                </c:pt>
                <c:pt idx="12">
                  <c:v>2.377430656264</c:v>
                </c:pt>
                <c:pt idx="13">
                  <c:v>2.5001052188919997</c:v>
                </c:pt>
                <c:pt idx="14">
                  <c:v>2.388308377655</c:v>
                </c:pt>
                <c:pt idx="15">
                  <c:v>2.2199344108009997</c:v>
                </c:pt>
                <c:pt idx="16">
                  <c:v>2.377430656264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3B-4E36-A36F-C70AB4268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07807"/>
        <c:axId val="208191487"/>
      </c:scatterChart>
      <c:valAx>
        <c:axId val="20820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Uq</a:t>
                </a:r>
                <a:r>
                  <a:rPr lang="zh-CN" altLang="en-US"/>
                  <a:t>工作点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191487"/>
        <c:crosses val="autoZero"/>
        <c:crossBetween val="midCat"/>
      </c:valAx>
      <c:valAx>
        <c:axId val="20819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Lq/mH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20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5443</xdr:colOff>
      <xdr:row>4</xdr:row>
      <xdr:rowOff>48986</xdr:rowOff>
    </xdr:from>
    <xdr:to>
      <xdr:col>14</xdr:col>
      <xdr:colOff>424543</xdr:colOff>
      <xdr:row>23</xdr:row>
      <xdr:rowOff>27214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E042A0-F518-5331-F2B7-242E29D23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12" sqref="E12"/>
    </sheetView>
  </sheetViews>
  <sheetFormatPr defaultRowHeight="14.15" x14ac:dyDescent="0.35"/>
  <cols>
    <col min="1" max="1" width="12.42578125" style="1" bestFit="1" customWidth="1"/>
    <col min="2" max="2" width="12.28515625" style="1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-4</v>
      </c>
      <c r="B2" s="1">
        <f>0.002436797990371*1000</f>
        <v>2.4367979903710002</v>
      </c>
    </row>
    <row r="3" spans="1:2" x14ac:dyDescent="0.35">
      <c r="A3" s="1">
        <v>-3.5</v>
      </c>
      <c r="B3" s="1">
        <f>0.002309814575076*1000</f>
        <v>2.309814575076</v>
      </c>
    </row>
    <row r="4" spans="1:2" x14ac:dyDescent="0.35">
      <c r="A4" s="1">
        <v>-3</v>
      </c>
      <c r="B4" s="1">
        <f>0.002259680161978*1000</f>
        <v>2.2596801619780003</v>
      </c>
    </row>
    <row r="5" spans="1:2" x14ac:dyDescent="0.35">
      <c r="A5" s="1">
        <v>-2.5</v>
      </c>
      <c r="B5" s="1">
        <f>0.002414786952925*1000</f>
        <v>2.4147869529250001</v>
      </c>
    </row>
    <row r="6" spans="1:2" x14ac:dyDescent="0.35">
      <c r="A6" s="1">
        <v>-2</v>
      </c>
      <c r="B6" s="1">
        <f>0.002269197304656*1000</f>
        <v>2.2691973046559997</v>
      </c>
    </row>
    <row r="7" spans="1:2" x14ac:dyDescent="0.35">
      <c r="A7" s="1">
        <v>-1.5</v>
      </c>
      <c r="B7" s="1">
        <f>0.002416553487322*1000</f>
        <v>2.416553487322</v>
      </c>
    </row>
    <row r="8" spans="1:2" x14ac:dyDescent="0.35">
      <c r="A8" s="1">
        <v>-1</v>
      </c>
      <c r="B8" s="1">
        <f>0.002386450000901*1000</f>
        <v>2.3864500009009997</v>
      </c>
    </row>
    <row r="9" spans="1:2" x14ac:dyDescent="0.35">
      <c r="A9" s="1">
        <v>-0.5</v>
      </c>
      <c r="B9" s="1">
        <f>0.002564883688272*1000</f>
        <v>2.5648836882720003</v>
      </c>
    </row>
    <row r="10" spans="1:2" x14ac:dyDescent="0.35">
      <c r="A10" s="1">
        <v>0</v>
      </c>
      <c r="B10" s="1">
        <f>0.00247477980868*1000</f>
        <v>2.4747798086800001</v>
      </c>
    </row>
    <row r="11" spans="1:2" x14ac:dyDescent="0.35">
      <c r="A11" s="1">
        <v>0.5</v>
      </c>
      <c r="B11" s="1">
        <f>0.002584511632102*1000</f>
        <v>2.5845116321020001</v>
      </c>
    </row>
    <row r="12" spans="1:2" x14ac:dyDescent="0.35">
      <c r="A12" s="1">
        <v>1</v>
      </c>
      <c r="B12" s="1">
        <f>0.002446163637328*1000</f>
        <v>2.446163637328</v>
      </c>
    </row>
    <row r="13" spans="1:2" x14ac:dyDescent="0.35">
      <c r="A13" s="1">
        <v>1.5</v>
      </c>
      <c r="B13" s="1">
        <f>0.00226098881764*1000</f>
        <v>2.2609888176400004</v>
      </c>
    </row>
    <row r="14" spans="1:2" x14ac:dyDescent="0.35">
      <c r="A14" s="1">
        <v>2</v>
      </c>
      <c r="B14" s="1">
        <f>0.002377430656264*1000</f>
        <v>2.377430656264</v>
      </c>
    </row>
    <row r="15" spans="1:2" x14ac:dyDescent="0.35">
      <c r="A15" s="1">
        <v>2.5</v>
      </c>
      <c r="B15" s="1">
        <f>0.002500105218892*1000</f>
        <v>2.5001052188919997</v>
      </c>
    </row>
    <row r="16" spans="1:2" x14ac:dyDescent="0.35">
      <c r="A16" s="1">
        <v>3</v>
      </c>
      <c r="B16" s="1">
        <f>0.002388308377655*1000</f>
        <v>2.388308377655</v>
      </c>
    </row>
    <row r="17" spans="1:2" x14ac:dyDescent="0.35">
      <c r="A17" s="1">
        <v>3.5</v>
      </c>
      <c r="B17" s="1">
        <f>0.002219934410801*1000</f>
        <v>2.2199344108009997</v>
      </c>
    </row>
    <row r="18" spans="1:2" x14ac:dyDescent="0.35">
      <c r="A18" s="1">
        <v>4</v>
      </c>
      <c r="B18" s="1">
        <f>0.002377430656264*1000</f>
        <v>2.377430656264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Binghong Liu</dc:creator>
  <cp:lastModifiedBy>Binghong Liu</cp:lastModifiedBy>
  <dcterms:created xsi:type="dcterms:W3CDTF">2015-06-05T18:17:20Z</dcterms:created>
  <dcterms:modified xsi:type="dcterms:W3CDTF">2026-05-01T12:32:25Z</dcterms:modified>
</cp:coreProperties>
</file>