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个人资源\大学学习\课外项目与专业软件资料\FOC\参数测量\"/>
    </mc:Choice>
  </mc:AlternateContent>
  <xr:revisionPtr revIDLastSave="0" documentId="13_ncr:1_{CF5BBBB7-25F6-4E29-AE88-56CA44DD7A9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19" i="1"/>
  <c r="B18" i="1"/>
  <c r="B17" i="1"/>
  <c r="B15" i="1"/>
  <c r="B14" i="1"/>
  <c r="B13" i="1"/>
  <c r="B2" i="1"/>
  <c r="B3" i="1"/>
  <c r="B5" i="1"/>
  <c r="B6" i="1"/>
  <c r="B7" i="1"/>
  <c r="B9" i="1"/>
  <c r="B10" i="1"/>
  <c r="B11" i="1"/>
</calcChain>
</file>

<file path=xl/sharedStrings.xml><?xml version="1.0" encoding="utf-8"?>
<sst xmlns="http://schemas.openxmlformats.org/spreadsheetml/2006/main" count="2" uniqueCount="2">
  <si>
    <t>工作点电压/V</t>
    <phoneticPr fontId="1" type="noConversion"/>
  </si>
  <si>
    <t>辨识结果/mH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</si>
</sst>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  <a:r>
              <a:rPr lang="zh-CN" altLang="en-US"/>
              <a:t>轴同步电感辨识结果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辨识结果/mH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2.4404981835140003</c:v>
                </c:pt>
                <c:pt idx="1">
                  <c:v>2.2772148440689999</c:v>
                </c:pt>
                <c:pt idx="2">
                  <c:v>2.4819100000000001</c:v>
                </c:pt>
                <c:pt idx="3">
                  <c:v>2.467523952424</c:v>
                </c:pt>
                <c:pt idx="4">
                  <c:v>2.2992131556550004</c:v>
                </c:pt>
                <c:pt idx="5">
                  <c:v>2.458112963044</c:v>
                </c:pt>
                <c:pt idx="6">
                  <c:v>2.3559100000000002</c:v>
                </c:pt>
                <c:pt idx="7">
                  <c:v>2.4203473339810002</c:v>
                </c:pt>
                <c:pt idx="8">
                  <c:v>2.3153178259449998</c:v>
                </c:pt>
                <c:pt idx="9">
                  <c:v>2.0807053011410002</c:v>
                </c:pt>
                <c:pt idx="10">
                  <c:v>2.09206</c:v>
                </c:pt>
                <c:pt idx="11">
                  <c:v>2.1104071493089998</c:v>
                </c:pt>
                <c:pt idx="12">
                  <c:v>2.0365327781900002</c:v>
                </c:pt>
                <c:pt idx="13">
                  <c:v>2.0326750244439999</c:v>
                </c:pt>
                <c:pt idx="14">
                  <c:v>1.92604</c:v>
                </c:pt>
                <c:pt idx="15">
                  <c:v>1.9273919394750001</c:v>
                </c:pt>
                <c:pt idx="16">
                  <c:v>2.0393590965210002</c:v>
                </c:pt>
                <c:pt idx="17">
                  <c:v>1.842665004663</c:v>
                </c:pt>
                <c:pt idx="18">
                  <c:v>1.80419</c:v>
                </c:pt>
                <c:pt idx="19">
                  <c:v>1.6963984774680001</c:v>
                </c:pt>
                <c:pt idx="20">
                  <c:v>1.67742454688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3B-4E36-A36F-C70AB4268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07807"/>
        <c:axId val="208191487"/>
      </c:scatterChart>
      <c:valAx>
        <c:axId val="2082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Ud</a:t>
                </a:r>
                <a:r>
                  <a:rPr lang="zh-CN" altLang="en-US"/>
                  <a:t>工作点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91487"/>
        <c:crosses val="autoZero"/>
        <c:crossBetween val="midCat"/>
      </c:valAx>
      <c:valAx>
        <c:axId val="2081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Ld/mH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5443</xdr:colOff>
      <xdr:row>4</xdr:row>
      <xdr:rowOff>48986</xdr:rowOff>
    </xdr:from>
    <xdr:to>
      <xdr:col>14</xdr:col>
      <xdr:colOff>424543</xdr:colOff>
      <xdr:row>23</xdr:row>
      <xdr:rowOff>27214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E042A0-F518-5331-F2B7-242E29D23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M24" sqref="M24"/>
    </sheetView>
  </sheetViews>
  <sheetFormatPr defaultRowHeight="14.15" x14ac:dyDescent="0.35"/>
  <cols>
    <col min="1" max="1" width="12.42578125" style="1" bestFit="1" customWidth="1"/>
    <col min="2" max="2" width="12.28515625" style="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-5</v>
      </c>
      <c r="B2" s="1">
        <f>0.002440498183514*1000</f>
        <v>2.4404981835140003</v>
      </c>
    </row>
    <row r="3" spans="1:2" x14ac:dyDescent="0.35">
      <c r="A3" s="1">
        <v>-4.5</v>
      </c>
      <c r="B3" s="1">
        <f>0.002277214844069*1000</f>
        <v>2.2772148440689999</v>
      </c>
    </row>
    <row r="4" spans="1:2" x14ac:dyDescent="0.35">
      <c r="A4" s="1">
        <v>-4</v>
      </c>
      <c r="B4" s="1">
        <v>2.4819100000000001</v>
      </c>
    </row>
    <row r="5" spans="1:2" x14ac:dyDescent="0.35">
      <c r="A5" s="1">
        <v>-3.5</v>
      </c>
      <c r="B5" s="1">
        <f>0.002467523952424*1000</f>
        <v>2.467523952424</v>
      </c>
    </row>
    <row r="6" spans="1:2" x14ac:dyDescent="0.35">
      <c r="A6" s="1">
        <v>-3</v>
      </c>
      <c r="B6" s="1">
        <f>0.002299213155655*1000</f>
        <v>2.2992131556550004</v>
      </c>
    </row>
    <row r="7" spans="1:2" x14ac:dyDescent="0.35">
      <c r="A7" s="1">
        <v>-2.5</v>
      </c>
      <c r="B7" s="1">
        <f>0.002458112963044*1000</f>
        <v>2.458112963044</v>
      </c>
    </row>
    <row r="8" spans="1:2" x14ac:dyDescent="0.35">
      <c r="A8" s="1">
        <v>-2</v>
      </c>
      <c r="B8" s="1">
        <v>2.3559100000000002</v>
      </c>
    </row>
    <row r="9" spans="1:2" x14ac:dyDescent="0.35">
      <c r="A9" s="1">
        <v>-1.5</v>
      </c>
      <c r="B9" s="1">
        <f>0.002420347333981*1000</f>
        <v>2.4203473339810002</v>
      </c>
    </row>
    <row r="10" spans="1:2" x14ac:dyDescent="0.35">
      <c r="A10" s="1">
        <v>-1</v>
      </c>
      <c r="B10" s="1">
        <f>0.002315317825945*1000</f>
        <v>2.3153178259449998</v>
      </c>
    </row>
    <row r="11" spans="1:2" x14ac:dyDescent="0.35">
      <c r="A11" s="1">
        <v>-0.5</v>
      </c>
      <c r="B11" s="1">
        <f>0.002080705301141*1000</f>
        <v>2.0807053011410002</v>
      </c>
    </row>
    <row r="12" spans="1:2" x14ac:dyDescent="0.35">
      <c r="A12" s="1">
        <v>0</v>
      </c>
      <c r="B12" s="1">
        <v>2.09206</v>
      </c>
    </row>
    <row r="13" spans="1:2" x14ac:dyDescent="0.35">
      <c r="A13" s="1">
        <v>0.5</v>
      </c>
      <c r="B13" s="1">
        <f>0.002110407149309*1000</f>
        <v>2.1104071493089998</v>
      </c>
    </row>
    <row r="14" spans="1:2" x14ac:dyDescent="0.35">
      <c r="A14" s="1">
        <v>1</v>
      </c>
      <c r="B14" s="1">
        <f>0.00203653277819*1000</f>
        <v>2.0365327781900002</v>
      </c>
    </row>
    <row r="15" spans="1:2" x14ac:dyDescent="0.35">
      <c r="A15" s="1">
        <v>1.5</v>
      </c>
      <c r="B15" s="1">
        <f>0.002032675024444*1000</f>
        <v>2.0326750244439999</v>
      </c>
    </row>
    <row r="16" spans="1:2" x14ac:dyDescent="0.35">
      <c r="A16" s="1">
        <v>2</v>
      </c>
      <c r="B16" s="1">
        <v>1.92604</v>
      </c>
    </row>
    <row r="17" spans="1:2" x14ac:dyDescent="0.35">
      <c r="A17" s="1">
        <v>2.5</v>
      </c>
      <c r="B17" s="1">
        <f>0.001927391939475*1000</f>
        <v>1.9273919394750001</v>
      </c>
    </row>
    <row r="18" spans="1:2" x14ac:dyDescent="0.35">
      <c r="A18" s="1">
        <v>3</v>
      </c>
      <c r="B18" s="1">
        <f>0.002039359096521*1000</f>
        <v>2.0393590965210002</v>
      </c>
    </row>
    <row r="19" spans="1:2" x14ac:dyDescent="0.35">
      <c r="A19" s="1">
        <v>3.5</v>
      </c>
      <c r="B19" s="1">
        <f>0.001842665004663*1000</f>
        <v>1.842665004663</v>
      </c>
    </row>
    <row r="20" spans="1:2" x14ac:dyDescent="0.35">
      <c r="A20" s="1">
        <v>4</v>
      </c>
      <c r="B20" s="1">
        <v>1.80419</v>
      </c>
    </row>
    <row r="21" spans="1:2" x14ac:dyDescent="0.35">
      <c r="A21" s="1">
        <v>4.5</v>
      </c>
      <c r="B21" s="1">
        <f>0.001696398477468*1000</f>
        <v>1.6963984774680001</v>
      </c>
    </row>
    <row r="22" spans="1:2" x14ac:dyDescent="0.35">
      <c r="A22" s="1">
        <v>5</v>
      </c>
      <c r="B22" s="1">
        <f>0.00167742454688*1000</f>
        <v>1.67742454688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Binghong Liu</dc:creator>
  <cp:lastModifiedBy>Binghong Liu</cp:lastModifiedBy>
  <dcterms:created xsi:type="dcterms:W3CDTF">2015-06-05T18:17:20Z</dcterms:created>
  <dcterms:modified xsi:type="dcterms:W3CDTF">2026-04-30T09:31:19Z</dcterms:modified>
</cp:coreProperties>
</file>